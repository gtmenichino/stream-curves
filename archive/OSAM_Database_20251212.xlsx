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usace.dps.mil/sites/TDL-CEERD-EEE-WRAPOhio/Shared Documents/PDT/FY26 OEPA - Ohio Streams/2026-01-07_From EPR/Finished Sites/"/>
    </mc:Choice>
  </mc:AlternateContent>
  <xr:revisionPtr revIDLastSave="4" documentId="8_{9B49A7E5-E822-4742-A8E8-21FB01E76D57}" xr6:coauthVersionLast="47" xr6:coauthVersionMax="47" xr10:uidLastSave="{4E4D36ED-08F9-4FA9-8E9B-73CEF6F5A3C6}"/>
  <bookViews>
    <workbookView xWindow="-28920" yWindow="-120" windowWidth="29040" windowHeight="17520" activeTab="1" xr2:uid="{91A21BA2-2B67-46B9-AB87-0916A945F107}"/>
  </bookViews>
  <sheets>
    <sheet name="Abbreviation Key" sheetId="5" r:id="rId1"/>
    <sheet name="OSAM"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X30" i="4" l="1"/>
  <c r="AX40" i="4" l="1"/>
  <c r="AX39" i="4"/>
  <c r="AX38" i="4"/>
  <c r="AX37" i="4"/>
  <c r="AX36" i="4"/>
  <c r="AX35" i="4"/>
  <c r="AX34" i="4"/>
  <c r="AX33" i="4"/>
  <c r="AX32" i="4"/>
  <c r="AX31" i="4"/>
  <c r="AX29" i="4"/>
  <c r="AX28" i="4"/>
  <c r="AX22" i="4"/>
  <c r="AX23" i="4"/>
  <c r="AX24" i="4"/>
  <c r="AX25" i="4"/>
  <c r="AX26" i="4"/>
  <c r="AX27" i="4"/>
  <c r="AX14" i="4"/>
  <c r="AX15" i="4"/>
  <c r="AX16" i="4"/>
  <c r="AX17" i="4"/>
  <c r="AX18" i="4"/>
  <c r="AX19" i="4"/>
  <c r="AX20" i="4"/>
  <c r="AX21" i="4"/>
  <c r="AX6" i="4"/>
  <c r="AX7" i="4"/>
  <c r="AX8" i="4"/>
  <c r="AX9" i="4"/>
  <c r="AX10" i="4"/>
  <c r="AX11" i="4"/>
  <c r="AX12" i="4"/>
  <c r="AX13" i="4"/>
  <c r="AX5" i="4"/>
  <c r="AB3" i="4" l="1"/>
  <c r="AB4" i="4"/>
  <c r="AB5" i="4"/>
  <c r="AB6" i="4"/>
  <c r="AB7" i="4"/>
  <c r="AB8" i="4"/>
  <c r="AB9" i="4"/>
  <c r="AB10" i="4"/>
  <c r="AB11" i="4"/>
  <c r="AB12" i="4"/>
  <c r="AB13" i="4"/>
  <c r="AB14" i="4"/>
  <c r="AB15" i="4"/>
  <c r="AB16" i="4"/>
  <c r="AB17" i="4"/>
  <c r="AB18" i="4"/>
  <c r="AB19" i="4"/>
  <c r="AB20" i="4"/>
  <c r="AB21" i="4"/>
  <c r="AB22" i="4"/>
  <c r="AB23" i="4"/>
  <c r="AB24" i="4"/>
  <c r="AB25" i="4"/>
  <c r="AB26" i="4"/>
  <c r="AB27" i="4"/>
  <c r="AB28" i="4"/>
  <c r="AB29" i="4"/>
  <c r="AB30" i="4"/>
  <c r="AB31" i="4"/>
  <c r="AB32" i="4"/>
  <c r="AB33" i="4"/>
  <c r="AB34" i="4"/>
  <c r="AB35" i="4"/>
  <c r="AB36" i="4"/>
  <c r="AB37" i="4"/>
  <c r="AB38" i="4"/>
  <c r="AB39" i="4"/>
  <c r="AB40" i="4"/>
  <c r="AB2" i="4"/>
  <c r="AX4" i="4" l="1"/>
  <c r="AX3" i="4"/>
  <c r="AX2"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tc={C059FACC-8850-46F3-AA56-77A902210BBE}</author>
    <author>tc={9DEC8A26-6EA9-4741-9DA8-6CE82BF224F5}</author>
    <author>tc={BED90B51-BEA3-46EB-8F06-84AB183F93C4}</author>
    <author>tc={7887F335-AB7D-4B93-88C5-B15F39D62CDC}</author>
    <author>tc={C8B83772-CAB7-4C6A-B939-533A4C685193}</author>
    <author>tc={4949F1DF-5A9D-4432-9C75-56A0F142671A}</author>
    <author>tc={0DDD06E1-82EF-4B8E-93CA-E6C02DF5FCA2}</author>
    <author>tc={A2F63CE1-504E-403B-BEF9-C4A53CCCB1BB}</author>
    <author>tc={7D19982A-0BE8-461A-B878-C7385AB45255}</author>
    <author>tc={8A6AB619-5255-4769-A08A-5463708E0F29}</author>
    <author>tc={1D80BB95-8C4C-43BE-B66E-8479EE3D0EBF}</author>
    <author>tc={B4A861AE-7BC7-44DD-9643-1DEF1C27EECC}</author>
    <author>tc={8A92EAF2-F89A-4857-814E-4EE26DC0F090}</author>
    <author>tc={30143C3D-BA5A-4FBF-82EB-3ED0C10EE17A}</author>
    <author>tc={D7D9DE3F-A3B0-499C-8913-F7F9D28C3C0C}</author>
    <author>tc={98529605-F1CB-4ADF-8A84-9FDA963526D7}</author>
    <author>tc={9BE1BE8A-71B6-4AD8-A9C2-D952B5144A94}</author>
    <author>tc={E541D020-DEBE-41D0-8BC3-D064470E06DE}</author>
    <author>tc={13CE15A8-9191-469E-9B7D-8A0A7DDE8C63}</author>
  </authors>
  <commentList>
    <comment ref="Z1" authorId="0" shapeId="0" xr:uid="{C059FACC-8850-46F3-AA56-77A902210BBE}">
      <text>
        <t>[Threaded comment]
Your version of Excel allows you to read this threaded comment; however, any edits to it will get removed if the file is opened in a newer version of Excel. Learn more: https://go.microsoft.com/fwlink/?linkid=870924
Comment:
    Include bed material estimate e.g., “B5c” or “C3”</t>
      </text>
    </comment>
    <comment ref="AE1" authorId="1" shapeId="0" xr:uid="{9DEC8A26-6EA9-4741-9DA8-6CE82BF224F5}">
      <text>
        <t>[Threaded comment]
Your version of Excel allows you to read this threaded comment; however, any edits to it will get removed if the file is opened in a newer version of Excel. Learn more: https://go.microsoft.com/fwlink/?linkid=870924
Comment:
    Any noted in the field and a review of imagery and topo upstream and downstream of the site.</t>
      </text>
    </comment>
    <comment ref="AE3" authorId="2" shapeId="0" xr:uid="{BED90B51-BEA3-46EB-8F06-84AB183F93C4}">
      <text>
        <t>[Threaded comment]
Your version of Excel allows you to read this threaded comment; however, any edits to it will get removed if the file is opened in a newer version of Excel. Learn more: https://go.microsoft.com/fwlink/?linkid=870924
Comment:
    From Cidney: Culvert upstream of reach. Recieving waters hit dam on Alum  Creek Reservoir. Both culvert and reservoir embankment potential barriers to aquatic movement.</t>
      </text>
    </comment>
    <comment ref="AJ7" authorId="3" shapeId="0" xr:uid="{7887F335-AB7D-4B93-88C5-B15F39D62CDC}">
      <text>
        <t>[Threaded comment]
Your version of Excel allows you to read this threaded comment; however, any edits to it will get removed if the file is opened in a newer version of Excel. Learn more: https://go.microsoft.com/fwlink/?linkid=870924
Comment:
    Note that the LWD assessment length was guessed due to the size of the channel. The length assessed was 340 ft so this value is normalized to 340 ft (full value = 63.67)</t>
      </text>
    </comment>
    <comment ref="AJ10" authorId="4" shapeId="0" xr:uid="{C8B83772-CAB7-4C6A-B939-533A4C685193}">
      <text>
        <t xml:space="preserve">[Threaded comment]
Your version of Excel allows you to read this threaded comment; however, any edits to it will get removed if the file is opened in a newer version of Excel. Learn more: https://go.microsoft.com/fwlink/?linkid=870924
Comment:
    NOTE: Given short assessment reach length, this value has been normalized. </t>
      </text>
    </comment>
    <comment ref="AJ11" authorId="5" shapeId="0" xr:uid="{4949F1DF-5A9D-4432-9C75-56A0F142671A}">
      <text>
        <t>[Threaded comment]
Your version of Excel allows you to read this threaded comment; however, any edits to it will get removed if the file is opened in a newer version of Excel. Learn more: https://go.microsoft.com/fwlink/?linkid=870924
Comment:
    NOTE: Given short assessment reach length, this value has been normalized</t>
      </text>
    </comment>
    <comment ref="AJ15" authorId="6" shapeId="0" xr:uid="{0DDD06E1-82EF-4B8E-93CA-E6C02DF5FCA2}">
      <text>
        <t>[Threaded comment]
Your version of Excel allows you to read this threaded comment; however, any edits to it will get removed if the file is opened in a newer version of Excel. Learn more: https://go.microsoft.com/fwlink/?linkid=870924
Comment:
    NOTE: Given short assessment reach length, this value has been normalized</t>
      </text>
    </comment>
    <comment ref="AJ23" authorId="7" shapeId="0" xr:uid="{A2F63CE1-504E-403B-BEF9-C4A53CCCB1BB}">
      <text>
        <t>[Threaded comment]
Your version of Excel allows you to read this threaded comment; however, any edits to it will get removed if the file is opened in a newer version of Excel. Learn more: https://go.microsoft.com/fwlink/?linkid=870924
Comment:
    Normalized to 100m/328ft</t>
      </text>
    </comment>
    <comment ref="Y24" authorId="8" shapeId="0" xr:uid="{7D19982A-0BE8-461A-B878-C7385AB45255}">
      <text>
        <t>[Threaded comment]
Your version of Excel allows you to read this threaded comment; however, any edits to it will get removed if the file is opened in a newer version of Excel. Learn more: https://go.microsoft.com/fwlink/?linkid=870924
Comment:
    No water in channel, measured from edge of channel.</t>
      </text>
    </comment>
    <comment ref="AC24" authorId="9" shapeId="0" xr:uid="{8A6AB619-5255-4769-A08A-5463708E0F29}">
      <text>
        <t>[Threaded comment]
Your version of Excel allows you to read this threaded comment; however, any edits to it will get removed if the file is opened in a newer version of Excel. Learn more: https://go.microsoft.com/fwlink/?linkid=870924
Comment:
    NOTE: Water only present in pools</t>
      </text>
    </comment>
    <comment ref="Y25" authorId="10" shapeId="0" xr:uid="{1D80BB95-8C4C-43BE-B66E-8479EE3D0EBF}">
      <text>
        <t>[Threaded comment]
Your version of Excel allows you to read this threaded comment; however, any edits to it will get removed if the file is opened in a newer version of Excel. Learn more: https://go.microsoft.com/fwlink/?linkid=870924
Comment:
    No water in channel, measured from edge of channel.</t>
      </text>
    </comment>
    <comment ref="AC25" authorId="11" shapeId="0" xr:uid="{B4A861AE-7BC7-44DD-9643-1DEF1C27EECC}">
      <text>
        <t>[Threaded comment]
Your version of Excel allows you to read this threaded comment; however, any edits to it will get removed if the file is opened in a newer version of Excel. Learn more: https://go.microsoft.com/fwlink/?linkid=870924
Comment:
    NOTE: Water only present in pools</t>
      </text>
    </comment>
    <comment ref="Y26" authorId="12" shapeId="0" xr:uid="{8A92EAF2-F89A-4857-814E-4EE26DC0F090}">
      <text>
        <t>[Threaded comment]
Your version of Excel allows you to read this threaded comment; however, any edits to it will get removed if the file is opened in a newer version of Excel. Learn more: https://go.microsoft.com/fwlink/?linkid=870924
Comment:
    No water in channel, measured from edge of channel.</t>
      </text>
    </comment>
    <comment ref="Z26" authorId="13" shapeId="0" xr:uid="{30143C3D-BA5A-4FBF-82EB-3ED0C10EE17A}">
      <text>
        <t xml:space="preserve">[Threaded comment]
Your version of Excel allows you to read this threaded comment; however, any edits to it will get removed if the file is opened in a newer version of Excel. Learn more: https://go.microsoft.com/fwlink/?linkid=870924
Comment:
    From Cidney’s notes: Maybe a C1c- but without water surface for the slope, it's hard to have confidence in the measured slope. </t>
      </text>
    </comment>
    <comment ref="AC26" authorId="14" shapeId="0" xr:uid="{D7D9DE3F-A3B0-499C-8913-F7F9D28C3C0C}">
      <text>
        <t>[Threaded comment]
Your version of Excel allows you to read this threaded comment; however, any edits to it will get removed if the file is opened in a newer version of Excel. Learn more: https://go.microsoft.com/fwlink/?linkid=870924
Comment:
    NOTE: Water only present in pools</t>
      </text>
    </comment>
    <comment ref="Y27" authorId="15" shapeId="0" xr:uid="{98529605-F1CB-4ADF-8A84-9FDA963526D7}">
      <text>
        <t>[Threaded comment]
Your version of Excel allows you to read this threaded comment; however, any edits to it will get removed if the file is opened in a newer version of Excel. Learn more: https://go.microsoft.com/fwlink/?linkid=870924
Comment:
    No water in channel, measured from edge of channel.</t>
      </text>
    </comment>
    <comment ref="AC27" authorId="16" shapeId="0" xr:uid="{9BE1BE8A-71B6-4AD8-A9C2-D952B5144A94}">
      <text>
        <t>[Threaded comment]
Your version of Excel allows you to read this threaded comment; however, any edits to it will get removed if the file is opened in a newer version of Excel. Learn more: https://go.microsoft.com/fwlink/?linkid=870924
Comment:
    NOTE: Water only present in pools</t>
      </text>
    </comment>
    <comment ref="AC32" authorId="17" shapeId="0" xr:uid="{E541D020-DEBE-41D0-8BC3-D064470E06DE}">
      <text>
        <t>[Threaded comment]
Your version of Excel allows you to read this threaded comment; however, any edits to it will get removed if the file is opened in a newer version of Excel. Learn more: https://go.microsoft.com/fwlink/?linkid=870924
Comment:
    NOTE: Water only present in pools</t>
      </text>
    </comment>
    <comment ref="AY32" authorId="18" shapeId="0" xr:uid="{13CE15A8-9191-469E-9B7D-8A0A7DDE8C63}">
      <text>
        <t>[Threaded comment]
Your version of Excel allows you to read this threaded comment; however, any edits to it will get removed if the file is opened in a newer version of Excel. Learn more: https://go.microsoft.com/fwlink/?linkid=870924
Comment:
    From Tom: H/H &amp; H/VH (same %)</t>
      </text>
    </comment>
  </commentList>
</comments>
</file>

<file path=xl/sharedStrings.xml><?xml version="1.0" encoding="utf-8"?>
<sst xmlns="http://schemas.openxmlformats.org/spreadsheetml/2006/main" count="852" uniqueCount="285">
  <si>
    <t>Acronym</t>
  </si>
  <si>
    <t>Full Text</t>
  </si>
  <si>
    <t>BEHI/NBS</t>
  </si>
  <si>
    <t>Bank Erosion Hazard Index / Near-Bank Stress</t>
  </si>
  <si>
    <t>BHR</t>
  </si>
  <si>
    <t>Bank Height Ratio</t>
  </si>
  <si>
    <t>BKF</t>
  </si>
  <si>
    <t>Bankfull</t>
  </si>
  <si>
    <t>CFP</t>
  </si>
  <si>
    <t>Concentrated Flow Point</t>
  </si>
  <si>
    <t>d50</t>
  </si>
  <si>
    <t>Median Particle Size</t>
  </si>
  <si>
    <t>DBH</t>
  </si>
  <si>
    <t>Diameter at Breast Height</t>
  </si>
  <si>
    <t>ER</t>
  </si>
  <si>
    <t>Entrenchment Ratio</t>
  </si>
  <si>
    <t>F</t>
  </si>
  <si>
    <t>Functioning</t>
  </si>
  <si>
    <t>FAR</t>
  </si>
  <si>
    <t>Functioning at Risk</t>
  </si>
  <si>
    <t>HA</t>
  </si>
  <si>
    <t xml:space="preserve">Hectare </t>
  </si>
  <si>
    <t>HUC</t>
  </si>
  <si>
    <t>Hydrologic Unit Code</t>
  </si>
  <si>
    <t>LWD</t>
  </si>
  <si>
    <t>Large Woody Debris</t>
  </si>
  <si>
    <t>NF</t>
  </si>
  <si>
    <t>Not Functioning</t>
  </si>
  <si>
    <t>PDR</t>
  </si>
  <si>
    <t>Pool Depth Ratio</t>
  </si>
  <si>
    <t>PSR</t>
  </si>
  <si>
    <t>Pool Spacing Ratio</t>
  </si>
  <si>
    <t>W/D</t>
  </si>
  <si>
    <t>Width to Depth</t>
  </si>
  <si>
    <t>WDR</t>
  </si>
  <si>
    <t>Width Depth Ratio</t>
  </si>
  <si>
    <t>XS</t>
  </si>
  <si>
    <t>Cross Section</t>
  </si>
  <si>
    <t>ID</t>
  </si>
  <si>
    <t>Name</t>
  </si>
  <si>
    <t>Ecoregion</t>
  </si>
  <si>
    <t>8-digit HUC</t>
  </si>
  <si>
    <t>County</t>
  </si>
  <si>
    <t>Drainage Area (sq.mi.)</t>
  </si>
  <si>
    <t>DACAT</t>
  </si>
  <si>
    <t>Thermal Regime</t>
  </si>
  <si>
    <t>Valley Type</t>
  </si>
  <si>
    <t>Sinuosity</t>
  </si>
  <si>
    <t>Impervious Cover (%)</t>
  </si>
  <si>
    <t>Open Water &amp; Wetlands (%)</t>
  </si>
  <si>
    <t xml:space="preserve">Weighted Average Runoff Score </t>
  </si>
  <si>
    <t>Date Surveyed</t>
  </si>
  <si>
    <t>Upstream Latitude</t>
  </si>
  <si>
    <t>Upstream Longitude</t>
  </si>
  <si>
    <t>Downstream Latitude</t>
  </si>
  <si>
    <t>Downstream Longitude</t>
  </si>
  <si>
    <t>Bankfull Area (sq.ft.)</t>
  </si>
  <si>
    <t>Bankfull Width (ft.)</t>
  </si>
  <si>
    <t>Bankfull Mean Depth (ft.)</t>
  </si>
  <si>
    <t>XS_WDR</t>
  </si>
  <si>
    <t>XS_ER</t>
  </si>
  <si>
    <t>Stream Slope (%)</t>
  </si>
  <si>
    <t>Stream Type</t>
  </si>
  <si>
    <t>Stream Assessment Length (ft.)</t>
  </si>
  <si>
    <t>Stream Assessment Area (sq.ft.)</t>
  </si>
  <si>
    <t>Stream Flow Regime</t>
  </si>
  <si>
    <t>CFPs (Y/N)</t>
  </si>
  <si>
    <t>Aquatic Barriers (Y/N)</t>
  </si>
  <si>
    <t>LWD Upstream Latitude</t>
  </si>
  <si>
    <t>LWD Upstream Longitude</t>
  </si>
  <si>
    <t>LWD Downstream Latitude</t>
  </si>
  <si>
    <t>LWD Downstream Longitude</t>
  </si>
  <si>
    <t>LWD Frequency_per 100m (count)</t>
  </si>
  <si>
    <t>Weighted BHR</t>
  </si>
  <si>
    <t>Weighted ER</t>
  </si>
  <si>
    <t>Percent Riffle (%)</t>
  </si>
  <si>
    <t>Median PSR</t>
  </si>
  <si>
    <t>Avg PDR</t>
  </si>
  <si>
    <t>Left Buffer Width (ft.)</t>
  </si>
  <si>
    <t>Right Buffer Width (ft.)</t>
  </si>
  <si>
    <t>Avg Basal Area (sq.m./ha)</t>
  </si>
  <si>
    <t>Avg Native Herbaceous Cover (%)</t>
  </si>
  <si>
    <t>Avg Native Shrub Cover (%)</t>
  </si>
  <si>
    <t>Avg Native Canopy Cover (%)</t>
  </si>
  <si>
    <t>Eroding Streambank Length (ft.)</t>
  </si>
  <si>
    <t>Percent Eroding Streambank (%)</t>
  </si>
  <si>
    <t>Dominant BEHI/NBS</t>
  </si>
  <si>
    <t>Bed Material</t>
  </si>
  <si>
    <t>d50 (mm)</t>
  </si>
  <si>
    <t>d84 (mm)</t>
  </si>
  <si>
    <t>Functional Capacity_Reach Runoff</t>
  </si>
  <si>
    <t>Functional Capacity_FPC</t>
  </si>
  <si>
    <t>Functional Capacity_Lateral Migration</t>
  </si>
  <si>
    <t>Functional Capacity_BFD</t>
  </si>
  <si>
    <t>Functional Capacity_Riparian Veg</t>
  </si>
  <si>
    <t>Slate Run</t>
  </si>
  <si>
    <t>ECBP</t>
  </si>
  <si>
    <t>05060001</t>
  </si>
  <si>
    <t>Pickaway</t>
  </si>
  <si>
    <t>Cool</t>
  </si>
  <si>
    <t>Confined Alluvial</t>
  </si>
  <si>
    <t>C4</t>
  </si>
  <si>
    <t>Perennial</t>
  </si>
  <si>
    <t>N</t>
  </si>
  <si>
    <t>M/M</t>
  </si>
  <si>
    <t xml:space="preserve">Gravel </t>
  </si>
  <si>
    <t>Slate Lick</t>
  </si>
  <si>
    <t>Delaware</t>
  </si>
  <si>
    <t>B4c</t>
  </si>
  <si>
    <t>Y</t>
  </si>
  <si>
    <t>H/M</t>
  </si>
  <si>
    <t>Shale Gravel</t>
  </si>
  <si>
    <t>NA</t>
  </si>
  <si>
    <t>FAR, close to F</t>
  </si>
  <si>
    <t>Highbanks</t>
  </si>
  <si>
    <t>Colluvial</t>
  </si>
  <si>
    <t>B1c</t>
  </si>
  <si>
    <t>M/L</t>
  </si>
  <si>
    <t>Bedrock</t>
  </si>
  <si>
    <t xml:space="preserve">F </t>
  </si>
  <si>
    <t>UT Slate Run</t>
  </si>
  <si>
    <t>Poplar Creek</t>
  </si>
  <si>
    <t>Fairfield</t>
  </si>
  <si>
    <t>Unconfined Alluvial</t>
  </si>
  <si>
    <t>E4</t>
  </si>
  <si>
    <t>Little Darby</t>
  </si>
  <si>
    <t>UT Kiser Lake</t>
  </si>
  <si>
    <t>7/9/2025</t>
  </si>
  <si>
    <t>46</t>
  </si>
  <si>
    <t>Sinking Creek</t>
  </si>
  <si>
    <t>Invasive/non-native (%)</t>
  </si>
  <si>
    <t>05080001</t>
  </si>
  <si>
    <t>Champaign</t>
  </si>
  <si>
    <t>Clark</t>
  </si>
  <si>
    <t>7/10/2025</t>
  </si>
  <si>
    <t>H/H</t>
  </si>
  <si>
    <t>Karst (%)</t>
  </si>
  <si>
    <t>ECBP15</t>
  </si>
  <si>
    <t>ECBP16</t>
  </si>
  <si>
    <t>Franklin</t>
  </si>
  <si>
    <t>HW</t>
  </si>
  <si>
    <t>Headwaters</t>
  </si>
  <si>
    <t>Cool-Warm</t>
  </si>
  <si>
    <t>Cool*</t>
  </si>
  <si>
    <t>Thermal Regime *</t>
  </si>
  <si>
    <t>No NHD stream, assign thermal regime matching receiving waters</t>
  </si>
  <si>
    <t>Intermittent</t>
  </si>
  <si>
    <t>IP</t>
  </si>
  <si>
    <t>B4</t>
  </si>
  <si>
    <t>L/M</t>
  </si>
  <si>
    <t>F4</t>
  </si>
  <si>
    <t>Cobble</t>
  </si>
  <si>
    <t>Hueston Woods UT1</t>
  </si>
  <si>
    <t>05080002</t>
  </si>
  <si>
    <t>Staff Initials</t>
  </si>
  <si>
    <t>Staff Name</t>
  </si>
  <si>
    <t>Affiliation</t>
  </si>
  <si>
    <t>CB</t>
  </si>
  <si>
    <t>CJ</t>
  </si>
  <si>
    <t>RM</t>
  </si>
  <si>
    <t>TB</t>
  </si>
  <si>
    <t>Tom Barrett</t>
  </si>
  <si>
    <t>Russell Myers</t>
  </si>
  <si>
    <t>Cidney Jones</t>
  </si>
  <si>
    <t>EPR</t>
  </si>
  <si>
    <t>Corbin Binkley</t>
  </si>
  <si>
    <t>MAD</t>
  </si>
  <si>
    <t>B3c</t>
  </si>
  <si>
    <t>Little Fourmile Creek</t>
  </si>
  <si>
    <t>VL/M</t>
  </si>
  <si>
    <t>Cobble/Bedrock</t>
  </si>
  <si>
    <t>Miami Whitewater</t>
  </si>
  <si>
    <t>05080003</t>
  </si>
  <si>
    <t>Hamilton</t>
  </si>
  <si>
    <t>Miami Whitewater UT2</t>
  </si>
  <si>
    <t>Dry Fork Whitewater</t>
  </si>
  <si>
    <t>Woodland Mound</t>
  </si>
  <si>
    <t>05090201</t>
  </si>
  <si>
    <t>B4a</t>
  </si>
  <si>
    <t>Preble</t>
  </si>
  <si>
    <t>IP12</t>
  </si>
  <si>
    <t>IP13</t>
  </si>
  <si>
    <t>IP16</t>
  </si>
  <si>
    <t>Eagle Creek</t>
  </si>
  <si>
    <t>Brown</t>
  </si>
  <si>
    <t>C3</t>
  </si>
  <si>
    <t>UT Brushy Fork</t>
  </si>
  <si>
    <t>F/FAR</t>
  </si>
  <si>
    <t>Howard Creek</t>
  </si>
  <si>
    <t>JRK</t>
  </si>
  <si>
    <t>Jenna Roller-Knapp</t>
  </si>
  <si>
    <t xml:space="preserve">J.Brent </t>
  </si>
  <si>
    <t>Zach Y</t>
  </si>
  <si>
    <t>Zach Youger</t>
  </si>
  <si>
    <t xml:space="preserve">James (Brent) Golver </t>
  </si>
  <si>
    <t>Ohio EPA</t>
  </si>
  <si>
    <t>Tom Babb</t>
  </si>
  <si>
    <t>Logan</t>
  </si>
  <si>
    <t xml:space="preserve">Int/Per </t>
  </si>
  <si>
    <t>ECBP10</t>
  </si>
  <si>
    <t>ECBP11</t>
  </si>
  <si>
    <t>ECBP12</t>
  </si>
  <si>
    <t>ECBP13</t>
  </si>
  <si>
    <t>ECBP14</t>
  </si>
  <si>
    <t>UT2 Big Darby HW</t>
  </si>
  <si>
    <t>UT2 Sugar Creek</t>
  </si>
  <si>
    <t>05090202</t>
  </si>
  <si>
    <t>Greene</t>
  </si>
  <si>
    <t>Beaver Creek</t>
  </si>
  <si>
    <t>Fall Creek</t>
  </si>
  <si>
    <t>05060003</t>
  </si>
  <si>
    <t>Highland</t>
  </si>
  <si>
    <t xml:space="preserve"> UT to Paint Creek Lake</t>
  </si>
  <si>
    <t>C4b</t>
  </si>
  <si>
    <t>IP14</t>
  </si>
  <si>
    <t>Baker Fork</t>
  </si>
  <si>
    <t>Adams</t>
  </si>
  <si>
    <t>H/L</t>
  </si>
  <si>
    <t xml:space="preserve">Sugar Creek </t>
  </si>
  <si>
    <t>HELP</t>
  </si>
  <si>
    <t>Seneca</t>
  </si>
  <si>
    <t>04100011</t>
  </si>
  <si>
    <t xml:space="preserve">UT Sandusky </t>
  </si>
  <si>
    <t>M/VH</t>
  </si>
  <si>
    <t>Willet Creek</t>
  </si>
  <si>
    <t>Powell Creek</t>
  </si>
  <si>
    <t>UT1 to Powell Creek</t>
  </si>
  <si>
    <t>UT2 to Powell Creek</t>
  </si>
  <si>
    <t>H/VH</t>
  </si>
  <si>
    <t>Marie De Larme</t>
  </si>
  <si>
    <t>Mill Creek</t>
  </si>
  <si>
    <t>E6</t>
  </si>
  <si>
    <t>Silt/clay</t>
  </si>
  <si>
    <t>04100009</t>
  </si>
  <si>
    <t xml:space="preserve">Defiance </t>
  </si>
  <si>
    <t>04100007</t>
  </si>
  <si>
    <t>04100005</t>
  </si>
  <si>
    <t>Paulding</t>
  </si>
  <si>
    <t>04100006</t>
  </si>
  <si>
    <t>Fulton</t>
  </si>
  <si>
    <t>IP15</t>
  </si>
  <si>
    <t>Little East Fork Ohio Brush Creek</t>
  </si>
  <si>
    <t>NF/FAR</t>
  </si>
  <si>
    <t>IP10</t>
  </si>
  <si>
    <t>IP11</t>
  </si>
  <si>
    <t>Middle Branch Mill Creek</t>
  </si>
  <si>
    <t>05060002</t>
  </si>
  <si>
    <t>C1</t>
  </si>
  <si>
    <t>Waggoner Run</t>
  </si>
  <si>
    <t>M/H</t>
  </si>
  <si>
    <t>UT to Cedar Run</t>
  </si>
  <si>
    <t>Indian Lick</t>
  </si>
  <si>
    <t>B3</t>
  </si>
  <si>
    <t>Cedar Run</t>
  </si>
  <si>
    <t>Brushy Fork</t>
  </si>
  <si>
    <t>UT1 Big Darby HW</t>
  </si>
  <si>
    <t>Karst % *</t>
  </si>
  <si>
    <t>See notes regarding data sources in site specifc workbook's "Desktop" tab</t>
  </si>
  <si>
    <t>43.9*</t>
  </si>
  <si>
    <t>45.9*</t>
  </si>
  <si>
    <t>ECBP1</t>
  </si>
  <si>
    <t>ECBP2</t>
  </si>
  <si>
    <t>ECBP3</t>
  </si>
  <si>
    <t>ECBP4</t>
  </si>
  <si>
    <t>ECBP5</t>
  </si>
  <si>
    <t>ECBP6</t>
  </si>
  <si>
    <t>ECBP7</t>
  </si>
  <si>
    <t>ECBP8</t>
  </si>
  <si>
    <t>ECBP9</t>
  </si>
  <si>
    <t>IP1</t>
  </si>
  <si>
    <t>IP2</t>
  </si>
  <si>
    <t>IP3</t>
  </si>
  <si>
    <t>IP4</t>
  </si>
  <si>
    <t>IP5</t>
  </si>
  <si>
    <t>IP6</t>
  </si>
  <si>
    <t>IP7</t>
  </si>
  <si>
    <t>IP9</t>
  </si>
  <si>
    <t>HELP1</t>
  </si>
  <si>
    <t>HELP2</t>
  </si>
  <si>
    <t>HELP3</t>
  </si>
  <si>
    <t>HELP4</t>
  </si>
  <si>
    <t>HELP5</t>
  </si>
  <si>
    <t>HELP6</t>
  </si>
  <si>
    <t>HELP7</t>
  </si>
  <si>
    <t>HELP8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</si>
</sst>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Aptos Narrow"/>
      <family val="2"/>
      <scheme val="minor"/>
    </font>
    <font>
      <b/>
      <sz val="11"/>
      <color theme="1"/>
      <name val="Aptos Narrow"/>
      <family val="2"/>
      <scheme val="minor"/>
    </font>
    <font>
      <sz val="12"/>
      <color theme="1"/>
      <name val="Aptos"/>
      <family val="2"/>
      <charset val="1"/>
    </font>
    <font>
      <b/>
      <sz val="14"/>
      <color theme="1"/>
      <name val="Aptos Narrow"/>
      <family val="2"/>
      <scheme val="minor"/>
    </font>
    <font>
      <sz val="8"/>
      <name val="Aptos Narrow"/>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0" borderId="1" xfId="0" applyFont="1" applyBorder="1" applyAlignment="1">
      <alignment horizontal="center" wrapText="1"/>
    </xf>
    <xf numFmtId="0" fontId="1" fillId="0" borderId="0" xfId="0" applyFont="1" applyAlignment="1">
      <alignment horizontal="center" wrapText="1"/>
    </xf>
    <xf numFmtId="0" fontId="0" fillId="0" borderId="1" xfId="0" applyBorder="1" applyAlignment="1">
      <alignment horizontal="center"/>
    </xf>
    <xf numFmtId="14" fontId="0" fillId="0" borderId="1" xfId="0" applyNumberFormat="1" applyBorder="1" applyAlignment="1">
      <alignment horizontal="center"/>
    </xf>
    <xf numFmtId="0" fontId="0" fillId="0" borderId="0" xfId="0" applyAlignment="1">
      <alignment horizontal="center"/>
    </xf>
    <xf numFmtId="0" fontId="0" fillId="0" borderId="1" xfId="0" applyBorder="1" applyAlignment="1">
      <alignment horizontal="center" vertical="center"/>
    </xf>
    <xf numFmtId="0" fontId="1" fillId="0" borderId="0" xfId="0" applyFont="1" applyAlignment="1">
      <alignment horizontal="center"/>
    </xf>
    <xf numFmtId="0" fontId="2" fillId="0" borderId="0" xfId="0" applyFont="1" applyAlignment="1">
      <alignment horizontal="left" vertical="center" wrapText="1"/>
    </xf>
    <xf numFmtId="0" fontId="3" fillId="0" borderId="0" xfId="0" applyFont="1"/>
    <xf numFmtId="49" fontId="0" fillId="0" borderId="1" xfId="0" applyNumberFormat="1" applyBorder="1" applyAlignment="1">
      <alignment horizontal="center"/>
    </xf>
    <xf numFmtId="0" fontId="0" fillId="0" borderId="1" xfId="0" applyBorder="1" applyAlignment="1">
      <alignment horizontal="center" wrapText="1"/>
    </xf>
    <xf numFmtId="0" fontId="0" fillId="0" borderId="0" xfId="0"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xf>
    <xf numFmtId="164" fontId="0" fillId="0" borderId="1" xfId="0" applyNumberFormat="1" applyBorder="1" applyAlignment="1">
      <alignment horizontal="center"/>
    </xf>
    <xf numFmtId="164" fontId="0" fillId="0" borderId="1" xfId="0" applyNumberFormat="1" applyBorder="1" applyAlignment="1">
      <alignment horizontal="center" vertical="center"/>
    </xf>
    <xf numFmtId="1" fontId="0" fillId="0" borderId="1" xfId="0" applyNumberFormat="1" applyBorder="1" applyAlignment="1">
      <alignment horizontal="center"/>
    </xf>
    <xf numFmtId="1" fontId="0" fillId="0" borderId="1" xfId="0" applyNumberFormat="1" applyBorder="1" applyAlignment="1">
      <alignment horizontal="center" vertical="center"/>
    </xf>
    <xf numFmtId="1" fontId="0" fillId="2" borderId="1" xfId="0" applyNumberFormat="1" applyFill="1" applyBorder="1" applyAlignment="1">
      <alignment horizontal="center"/>
    </xf>
    <xf numFmtId="0" fontId="0" fillId="0" borderId="2" xfId="0" applyBorder="1" applyAlignment="1">
      <alignment horizontal="center"/>
    </xf>
    <xf numFmtId="2" fontId="0" fillId="0" borderId="1" xfId="0" applyNumberFormat="1" applyBorder="1" applyAlignment="1">
      <alignment horizontal="center" vertical="center"/>
    </xf>
    <xf numFmtId="0" fontId="0" fillId="0" borderId="2" xfId="0" applyBorder="1" applyAlignment="1">
      <alignment horizontal="center" vertical="center"/>
    </xf>
    <xf numFmtId="49" fontId="0" fillId="0" borderId="1" xfId="0" applyNumberFormat="1" applyBorder="1" applyAlignment="1">
      <alignment horizontal="center" vertical="center"/>
    </xf>
    <xf numFmtId="2" fontId="0" fillId="0" borderId="1" xfId="0" applyNumberFormat="1" applyBorder="1" applyAlignment="1">
      <alignment horizontal="center"/>
    </xf>
    <xf numFmtId="14" fontId="0" fillId="2" borderId="1" xfId="0" applyNumberFormat="1" applyFill="1" applyBorder="1" applyAlignment="1">
      <alignment horizontal="center" vertical="center"/>
    </xf>
    <xf numFmtId="0" fontId="0" fillId="2" borderId="1" xfId="0" applyFill="1" applyBorder="1" applyAlignment="1">
      <alignment horizontal="center"/>
    </xf>
    <xf numFmtId="164" fontId="0" fillId="2" borderId="1" xfId="0" applyNumberFormat="1" applyFill="1" applyBorder="1" applyAlignment="1">
      <alignment horizontal="center"/>
    </xf>
    <xf numFmtId="2" fontId="0" fillId="2" borderId="1" xfId="0" applyNumberFormat="1" applyFill="1" applyBorder="1" applyAlignment="1">
      <alignment horizontal="center"/>
    </xf>
    <xf numFmtId="0" fontId="0" fillId="0" borderId="3" xfId="0" applyBorder="1" applyAlignment="1">
      <alignment horizontal="center" vertical="center"/>
    </xf>
    <xf numFmtId="0" fontId="0" fillId="0" borderId="3" xfId="0" applyBorder="1" applyAlignment="1">
      <alignment horizontal="center"/>
    </xf>
    <xf numFmtId="0" fontId="0" fillId="3" borderId="0" xfId="0" applyFill="1" applyAlignment="1">
      <alignment horizontal="center"/>
    </xf>
  </cellXfs>
  <cellStyles count="1">
    <cellStyle name="Normal" xfId="0" builtinId="0"/>
  </cellStyles>
  <dxfs count="0"/>
  <tableStyles count="0" defaultTableStyle="TableStyleMedium2" defaultPivotStyle="PivotStyleLight16"/>
  <colors>
    <mruColors>
      <color rgb="FF83CC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Cidney Jones" id="{556B1C1A-606A-44BD-9618-C49D8BBC4335}" userId="S::cjones@EPRUSA.NET::5a578271-f7b7-43b9-9c33-12794a13cb04" providerId="AD"/>
  <person displayName="Paxton Ramsdell" id="{C47ADEEB-F695-4AE0-A525-9FDE85FB0CB7}" userId="S::pramsdell@EPRUSA.NET::118eb9be-6c8b-4e79-8b41-0aa06fe91676" providerId="AD"/>
  <person displayName="Paxton Ramsdell" id="{3C2F5024-BF73-41E3-AB15-8623D4F33A46}" userId="S::pramsdell@eprusa.net::118eb9be-6c8b-4e79-8b41-0aa06fe9167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Z1" dT="2025-06-09T16:57:35.44" personId="{556B1C1A-606A-44BD-9618-C49D8BBC4335}" id="{C059FACC-8850-46F3-AA56-77A902210BBE}">
    <text>Include bed material estimate e.g., “B5c” or “C3”</text>
  </threadedComment>
  <threadedComment ref="AE1" dT="2025-07-15T17:06:53.79" personId="{556B1C1A-606A-44BD-9618-C49D8BBC4335}" id="{9DEC8A26-6EA9-4741-9DA8-6CE82BF224F5}">
    <text>Any noted in the field and a review of imagery and topo upstream and downstream of the site.</text>
  </threadedComment>
  <threadedComment ref="AE3" dT="2025-12-09T16:19:58.07" personId="{C47ADEEB-F695-4AE0-A525-9FDE85FB0CB7}" id="{BED90B51-BEA3-46EB-8F06-84AB183F93C4}">
    <text>From Cidney: Culvert upstream of reach. Recieving waters hit dam on Alum  Creek Reservoir. Both culvert and reservoir embankment potential barriers to aquatic movement.</text>
  </threadedComment>
  <threadedComment ref="AJ7" dT="2025-08-06T23:28:33.96" personId="{3C2F5024-BF73-41E3-AB15-8623D4F33A46}" id="{7887F335-AB7D-4B93-88C5-B15F39D62CDC}">
    <text>Note that the LWD assessment length was guessed due to the size of the channel. The length assessed was 340 ft so this value is normalized to 340 ft (full value = 63.67)</text>
  </threadedComment>
  <threadedComment ref="AJ10" dT="2025-11-05T20:04:30.35" personId="{C47ADEEB-F695-4AE0-A525-9FDE85FB0CB7}" id="{C8B83772-CAB7-4C6A-B939-533A4C685193}">
    <text xml:space="preserve">NOTE: Given short assessment reach length, this value has been normalized. </text>
  </threadedComment>
  <threadedComment ref="AJ11" dT="2025-11-05T20:35:04.88" personId="{C47ADEEB-F695-4AE0-A525-9FDE85FB0CB7}" id="{4949F1DF-5A9D-4432-9C75-56A0F142671A}">
    <text>NOTE: Given short assessment reach length, this value has been normalized</text>
  </threadedComment>
  <threadedComment ref="AJ15" dT="2025-11-05T21:51:40.13" personId="{C47ADEEB-F695-4AE0-A525-9FDE85FB0CB7}" id="{0DDD06E1-82EF-4B8E-93CA-E6C02DF5FCA2}">
    <text>NOTE: Given short assessment reach length, this value has been normalized</text>
  </threadedComment>
  <threadedComment ref="AJ23" dT="2025-12-09T13:44:20.74" personId="{C47ADEEB-F695-4AE0-A525-9FDE85FB0CB7}" id="{A2F63CE1-504E-403B-BEF9-C4A53CCCB1BB}">
    <text>Normalized to 100m/328ft</text>
  </threadedComment>
  <threadedComment ref="Y24" dT="2025-12-02T21:17:23.42" personId="{556B1C1A-606A-44BD-9618-C49D8BBC4335}" id="{7D19982A-0BE8-461A-B878-C7385AB45255}">
    <text>No water in channel, measured from edge of channel.</text>
  </threadedComment>
  <threadedComment ref="AC24" dT="2025-11-05T20:03:52.05" personId="{C47ADEEB-F695-4AE0-A525-9FDE85FB0CB7}" id="{8A6AB619-5255-4769-A08A-5463708E0F29}">
    <text>NOTE: Water only present in pools</text>
  </threadedComment>
  <threadedComment ref="Y25" dT="2025-12-03T16:10:01.79" personId="{556B1C1A-606A-44BD-9618-C49D8BBC4335}" id="{1D80BB95-8C4C-43BE-B66E-8479EE3D0EBF}">
    <text>No water in channel, measured from edge of channel.</text>
  </threadedComment>
  <threadedComment ref="AC25" dT="2025-11-05T20:03:52.05" personId="{C47ADEEB-F695-4AE0-A525-9FDE85FB0CB7}" id="{B4A861AE-7BC7-44DD-9643-1DEF1C27EECC}">
    <text>NOTE: Water only present in pools</text>
  </threadedComment>
  <threadedComment ref="Y26" dT="2025-12-03T16:10:01.79" personId="{556B1C1A-606A-44BD-9618-C49D8BBC4335}" id="{8A92EAF2-F89A-4857-814E-4EE26DC0F090}">
    <text>No water in channel, measured from edge of channel.</text>
  </threadedComment>
  <threadedComment ref="Z26" dT="2025-12-09T14:04:44.27" personId="{C47ADEEB-F695-4AE0-A525-9FDE85FB0CB7}" id="{30143C3D-BA5A-4FBF-82EB-3ED0C10EE17A}">
    <text xml:space="preserve">From Cidney’s notes: Maybe a C1c- but without water surface for the slope, it's hard to have confidence in the measured slope. </text>
  </threadedComment>
  <threadedComment ref="AC26" dT="2025-11-05T20:03:52.05" personId="{C47ADEEB-F695-4AE0-A525-9FDE85FB0CB7}" id="{D7D9DE3F-A3B0-499C-8913-F7F9D28C3C0C}">
    <text>NOTE: Water only present in pools</text>
  </threadedComment>
  <threadedComment ref="Y27" dT="2025-12-03T16:10:01.79" personId="{556B1C1A-606A-44BD-9618-C49D8BBC4335}" id="{98529605-F1CB-4ADF-8A84-9FDA963526D7}">
    <text>No water in channel, measured from edge of channel.</text>
  </threadedComment>
  <threadedComment ref="AC27" dT="2025-11-05T20:03:52.05" personId="{C47ADEEB-F695-4AE0-A525-9FDE85FB0CB7}" id="{9BE1BE8A-71B6-4AD8-A9C2-D952B5144A94}">
    <text>NOTE: Water only present in pools</text>
  </threadedComment>
  <threadedComment ref="AC32" dT="2025-11-05T20:03:52.05" personId="{C47ADEEB-F695-4AE0-A525-9FDE85FB0CB7}" id="{E541D020-DEBE-41D0-8BC3-D064470E06DE}">
    <text>NOTE: Water only present in pools</text>
  </threadedComment>
  <threadedComment ref="AY32" dT="2025-12-09T14:51:53.15" personId="{C47ADEEB-F695-4AE0-A525-9FDE85FB0CB7}" id="{13CE15A8-9191-469E-9B7D-8A0A7DDE8C63}">
    <text>From Tom: H/H &amp; H/VH (same %)</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68826-441F-4259-86C1-2F93D35A7948}">
  <dimension ref="A1:E23"/>
  <sheetViews>
    <sheetView workbookViewId="0">
      <selection activeCell="C23" sqref="C23"/>
    </sheetView>
  </sheetViews>
  <sheetFormatPr defaultRowHeight="15" x14ac:dyDescent="0.25"/>
  <cols>
    <col min="1" max="1" width="18.85546875" customWidth="1"/>
    <col min="2" max="2" width="29.7109375" customWidth="1"/>
    <col min="3" max="3" width="14.85546875" bestFit="1" customWidth="1"/>
    <col min="4" max="4" width="13.7109375" bestFit="1" customWidth="1"/>
    <col min="5" max="5" width="12.42578125" bestFit="1" customWidth="1"/>
  </cols>
  <sheetData>
    <row r="1" spans="1:5" ht="18.75" x14ac:dyDescent="0.3">
      <c r="A1" s="9" t="s">
        <v>0</v>
      </c>
      <c r="B1" s="9" t="s">
        <v>1</v>
      </c>
      <c r="C1" s="9" t="s">
        <v>154</v>
      </c>
      <c r="D1" s="9" t="s">
        <v>155</v>
      </c>
      <c r="E1" s="9" t="s">
        <v>156</v>
      </c>
    </row>
    <row r="2" spans="1:5" ht="31.5" x14ac:dyDescent="0.25">
      <c r="A2" s="8" t="s">
        <v>2</v>
      </c>
      <c r="B2" s="8" t="s">
        <v>3</v>
      </c>
      <c r="C2" t="s">
        <v>157</v>
      </c>
      <c r="D2" t="s">
        <v>165</v>
      </c>
      <c r="E2" t="s">
        <v>166</v>
      </c>
    </row>
    <row r="3" spans="1:5" ht="15.75" x14ac:dyDescent="0.25">
      <c r="A3" s="8" t="s">
        <v>4</v>
      </c>
      <c r="B3" s="8" t="s">
        <v>5</v>
      </c>
      <c r="C3" t="s">
        <v>158</v>
      </c>
      <c r="D3" t="s">
        <v>163</v>
      </c>
      <c r="E3" t="s">
        <v>164</v>
      </c>
    </row>
    <row r="4" spans="1:5" ht="15.75" x14ac:dyDescent="0.25">
      <c r="A4" s="8" t="s">
        <v>6</v>
      </c>
      <c r="B4" s="8" t="s">
        <v>7</v>
      </c>
      <c r="C4" t="s">
        <v>159</v>
      </c>
      <c r="D4" t="s">
        <v>162</v>
      </c>
      <c r="E4" t="s">
        <v>164</v>
      </c>
    </row>
    <row r="5" spans="1:5" ht="15.75" x14ac:dyDescent="0.25">
      <c r="A5" s="8" t="s">
        <v>8</v>
      </c>
      <c r="B5" s="8" t="s">
        <v>9</v>
      </c>
      <c r="C5" t="s">
        <v>160</v>
      </c>
      <c r="D5" t="s">
        <v>161</v>
      </c>
      <c r="E5" t="s">
        <v>164</v>
      </c>
    </row>
    <row r="6" spans="1:5" ht="15.75" x14ac:dyDescent="0.25">
      <c r="A6" s="8" t="s">
        <v>10</v>
      </c>
      <c r="B6" s="8" t="s">
        <v>11</v>
      </c>
      <c r="C6" t="s">
        <v>189</v>
      </c>
      <c r="D6" t="s">
        <v>190</v>
      </c>
      <c r="E6" t="s">
        <v>166</v>
      </c>
    </row>
    <row r="7" spans="1:5" ht="15.75" x14ac:dyDescent="0.25">
      <c r="A7" s="8" t="s">
        <v>12</v>
      </c>
      <c r="B7" s="8" t="s">
        <v>13</v>
      </c>
      <c r="C7" t="s">
        <v>191</v>
      </c>
      <c r="D7" t="s">
        <v>194</v>
      </c>
      <c r="E7" t="s">
        <v>195</v>
      </c>
    </row>
    <row r="8" spans="1:5" ht="15.75" x14ac:dyDescent="0.25">
      <c r="A8" s="8" t="s">
        <v>14</v>
      </c>
      <c r="B8" s="8" t="s">
        <v>15</v>
      </c>
      <c r="C8" t="s">
        <v>192</v>
      </c>
      <c r="D8" t="s">
        <v>193</v>
      </c>
      <c r="E8" t="s">
        <v>166</v>
      </c>
    </row>
    <row r="9" spans="1:5" ht="15.75" x14ac:dyDescent="0.25">
      <c r="A9" s="8" t="s">
        <v>16</v>
      </c>
      <c r="B9" s="8" t="s">
        <v>17</v>
      </c>
      <c r="C9" t="s">
        <v>160</v>
      </c>
      <c r="D9" t="s">
        <v>196</v>
      </c>
      <c r="E9" t="s">
        <v>195</v>
      </c>
    </row>
    <row r="10" spans="1:5" ht="15.75" x14ac:dyDescent="0.25">
      <c r="A10" s="8" t="s">
        <v>18</v>
      </c>
      <c r="B10" s="8" t="s">
        <v>19</v>
      </c>
    </row>
    <row r="11" spans="1:5" ht="15.75" x14ac:dyDescent="0.25">
      <c r="A11" s="8" t="s">
        <v>20</v>
      </c>
      <c r="B11" s="8" t="s">
        <v>21</v>
      </c>
    </row>
    <row r="12" spans="1:5" ht="15.75" x14ac:dyDescent="0.25">
      <c r="A12" s="8" t="s">
        <v>140</v>
      </c>
      <c r="B12" s="8" t="s">
        <v>141</v>
      </c>
    </row>
    <row r="13" spans="1:5" ht="15.75" x14ac:dyDescent="0.25">
      <c r="A13" s="8" t="s">
        <v>22</v>
      </c>
      <c r="B13" s="8" t="s">
        <v>23</v>
      </c>
    </row>
    <row r="14" spans="1:5" ht="15.75" x14ac:dyDescent="0.25">
      <c r="A14" s="8" t="s">
        <v>24</v>
      </c>
      <c r="B14" s="8" t="s">
        <v>25</v>
      </c>
    </row>
    <row r="15" spans="1:5" ht="15.75" x14ac:dyDescent="0.25">
      <c r="A15" s="8" t="s">
        <v>26</v>
      </c>
      <c r="B15" s="8" t="s">
        <v>27</v>
      </c>
    </row>
    <row r="16" spans="1:5" ht="15.75" x14ac:dyDescent="0.25">
      <c r="A16" s="8" t="s">
        <v>28</v>
      </c>
      <c r="B16" s="8" t="s">
        <v>29</v>
      </c>
    </row>
    <row r="17" spans="1:3" ht="15.75" x14ac:dyDescent="0.25">
      <c r="A17" s="8" t="s">
        <v>30</v>
      </c>
      <c r="B17" s="8" t="s">
        <v>31</v>
      </c>
    </row>
    <row r="18" spans="1:3" ht="15.75" x14ac:dyDescent="0.25">
      <c r="A18" s="8" t="s">
        <v>32</v>
      </c>
      <c r="B18" s="8" t="s">
        <v>33</v>
      </c>
    </row>
    <row r="19" spans="1:3" ht="15.75" x14ac:dyDescent="0.25">
      <c r="A19" s="8" t="s">
        <v>34</v>
      </c>
      <c r="B19" s="8" t="s">
        <v>35</v>
      </c>
    </row>
    <row r="20" spans="1:3" ht="15.75" x14ac:dyDescent="0.25">
      <c r="A20" s="8" t="s">
        <v>36</v>
      </c>
      <c r="B20" s="8" t="s">
        <v>37</v>
      </c>
    </row>
    <row r="21" spans="1:3" ht="15.75" x14ac:dyDescent="0.25">
      <c r="C21" s="8"/>
    </row>
    <row r="22" spans="1:3" ht="47.25" x14ac:dyDescent="0.25">
      <c r="A22" s="8" t="s">
        <v>144</v>
      </c>
      <c r="B22" s="8" t="s">
        <v>145</v>
      </c>
    </row>
    <row r="23" spans="1:3" ht="47.25" x14ac:dyDescent="0.25">
      <c r="A23" s="8" t="s">
        <v>256</v>
      </c>
      <c r="B23" s="8" t="s">
        <v>257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BE58D-D2F8-4058-A182-0D3B7D279A69}">
  <dimension ref="A1:ARO490"/>
  <sheetViews>
    <sheetView tabSelected="1" topLeftCell="D1" zoomScale="115" zoomScaleNormal="115" workbookViewId="0">
      <pane ySplit="1" topLeftCell="A14" activePane="bottomLeft" state="frozen"/>
      <selection pane="bottomLeft" activeCell="K33" sqref="K33:N40"/>
    </sheetView>
  </sheetViews>
  <sheetFormatPr defaultColWidth="9.140625" defaultRowHeight="15" x14ac:dyDescent="0.25"/>
  <cols>
    <col min="1" max="1" width="9.140625" style="5"/>
    <col min="2" max="2" width="33.140625" style="7" customWidth="1"/>
    <col min="3" max="5" width="13.140625" style="5" customWidth="1"/>
    <col min="6" max="6" width="13.42578125" style="31" customWidth="1"/>
    <col min="7" max="7" width="9.5703125" style="5" customWidth="1"/>
    <col min="8" max="8" width="14.28515625" style="31" customWidth="1"/>
    <col min="9" max="9" width="24.140625" style="5" customWidth="1"/>
    <col min="10" max="10" width="11.42578125" style="5" customWidth="1"/>
    <col min="11" max="11" width="9.140625" style="31" customWidth="1"/>
    <col min="12" max="12" width="13" style="31" customWidth="1"/>
    <col min="13" max="13" width="14.7109375" style="31" customWidth="1"/>
    <col min="14" max="14" width="15.140625" style="31" customWidth="1"/>
    <col min="15" max="15" width="15.42578125" style="7" customWidth="1"/>
    <col min="16" max="16" width="13.140625" style="5" customWidth="1"/>
    <col min="17" max="17" width="13.7109375" style="5" customWidth="1"/>
    <col min="18" max="18" width="13.140625" style="5" customWidth="1"/>
    <col min="19" max="19" width="13.7109375" style="5" customWidth="1"/>
    <col min="20" max="20" width="12.7109375" style="5" customWidth="1"/>
    <col min="21" max="21" width="13.85546875" style="5" customWidth="1"/>
    <col min="22" max="22" width="12.85546875" style="5" customWidth="1"/>
    <col min="23" max="24" width="11.5703125" style="5" customWidth="1"/>
    <col min="25" max="25" width="13.140625" style="5" customWidth="1"/>
    <col min="26" max="26" width="13.5703125" style="5" customWidth="1"/>
    <col min="27" max="27" width="16.28515625" style="5" customWidth="1"/>
    <col min="28" max="28" width="14.42578125" style="5" customWidth="1"/>
    <col min="29" max="29" width="14.85546875" style="5" customWidth="1"/>
    <col min="30" max="30" width="11.7109375" style="5" customWidth="1"/>
    <col min="31" max="31" width="12.42578125" style="5" customWidth="1"/>
    <col min="32" max="35" width="13.28515625" style="5" customWidth="1"/>
    <col min="36" max="36" width="16.28515625" style="5" customWidth="1"/>
    <col min="37" max="39" width="10.42578125" style="5" customWidth="1"/>
    <col min="40" max="41" width="9.42578125" style="5" customWidth="1"/>
    <col min="42" max="43" width="10.85546875" style="5" customWidth="1"/>
    <col min="44" max="44" width="14.140625" style="5" customWidth="1"/>
    <col min="45" max="47" width="14.5703125" style="5" customWidth="1"/>
    <col min="48" max="48" width="17.5703125" style="5" customWidth="1"/>
    <col min="49" max="50" width="15" style="5" customWidth="1"/>
    <col min="51" max="51" width="11.140625" style="5" customWidth="1"/>
    <col min="52" max="52" width="19.28515625" style="5" customWidth="1"/>
    <col min="53" max="54" width="9.140625" style="5"/>
    <col min="55" max="59" width="17.7109375" style="5" customWidth="1"/>
    <col min="60" max="16384" width="9.140625" style="5"/>
  </cols>
  <sheetData>
    <row r="1" spans="1:105" s="2" customFormat="1" ht="45" customHeight="1" x14ac:dyDescent="0.25">
      <c r="A1" s="1" t="s">
        <v>38</v>
      </c>
      <c r="B1" s="1" t="s">
        <v>39</v>
      </c>
      <c r="C1" s="1" t="s">
        <v>40</v>
      </c>
      <c r="D1" s="1" t="s">
        <v>41</v>
      </c>
      <c r="E1" s="1" t="s">
        <v>42</v>
      </c>
      <c r="F1" s="1" t="s">
        <v>43</v>
      </c>
      <c r="G1" s="1" t="s">
        <v>44</v>
      </c>
      <c r="H1" s="1" t="s">
        <v>45</v>
      </c>
      <c r="I1" s="1" t="s">
        <v>46</v>
      </c>
      <c r="J1" s="1" t="s">
        <v>47</v>
      </c>
      <c r="K1" s="1" t="s">
        <v>136</v>
      </c>
      <c r="L1" s="1" t="s">
        <v>48</v>
      </c>
      <c r="M1" s="1" t="s">
        <v>49</v>
      </c>
      <c r="N1" s="1" t="s">
        <v>50</v>
      </c>
      <c r="O1" s="1" t="s">
        <v>51</v>
      </c>
      <c r="P1" s="1" t="s">
        <v>52</v>
      </c>
      <c r="Q1" s="1" t="s">
        <v>53</v>
      </c>
      <c r="R1" s="1" t="s">
        <v>54</v>
      </c>
      <c r="S1" s="1" t="s">
        <v>55</v>
      </c>
      <c r="T1" s="1" t="s">
        <v>56</v>
      </c>
      <c r="U1" s="1" t="s">
        <v>57</v>
      </c>
      <c r="V1" s="1" t="s">
        <v>58</v>
      </c>
      <c r="W1" s="1" t="s">
        <v>59</v>
      </c>
      <c r="X1" s="1" t="s">
        <v>60</v>
      </c>
      <c r="Y1" s="1" t="s">
        <v>61</v>
      </c>
      <c r="Z1" s="1" t="s">
        <v>62</v>
      </c>
      <c r="AA1" s="1" t="s">
        <v>63</v>
      </c>
      <c r="AB1" s="1" t="s">
        <v>64</v>
      </c>
      <c r="AC1" s="1" t="s">
        <v>65</v>
      </c>
      <c r="AD1" s="1" t="s">
        <v>66</v>
      </c>
      <c r="AE1" s="1" t="s">
        <v>67</v>
      </c>
      <c r="AF1" s="1" t="s">
        <v>68</v>
      </c>
      <c r="AG1" s="1" t="s">
        <v>69</v>
      </c>
      <c r="AH1" s="1" t="s">
        <v>70</v>
      </c>
      <c r="AI1" s="1" t="s">
        <v>71</v>
      </c>
      <c r="AJ1" s="1" t="s">
        <v>72</v>
      </c>
      <c r="AK1" s="1" t="s">
        <v>73</v>
      </c>
      <c r="AL1" s="1" t="s">
        <v>74</v>
      </c>
      <c r="AM1" s="1" t="s">
        <v>75</v>
      </c>
      <c r="AN1" s="1" t="s">
        <v>76</v>
      </c>
      <c r="AO1" s="1" t="s">
        <v>77</v>
      </c>
      <c r="AP1" s="1" t="s">
        <v>78</v>
      </c>
      <c r="AQ1" s="1" t="s">
        <v>79</v>
      </c>
      <c r="AR1" s="1" t="s">
        <v>80</v>
      </c>
      <c r="AS1" s="1" t="s">
        <v>81</v>
      </c>
      <c r="AT1" s="1" t="s">
        <v>82</v>
      </c>
      <c r="AU1" s="1" t="s">
        <v>83</v>
      </c>
      <c r="AV1" s="1" t="s">
        <v>130</v>
      </c>
      <c r="AW1" s="1" t="s">
        <v>84</v>
      </c>
      <c r="AX1" s="1" t="s">
        <v>85</v>
      </c>
      <c r="AY1" s="1" t="s">
        <v>86</v>
      </c>
      <c r="AZ1" s="1" t="s">
        <v>87</v>
      </c>
      <c r="BA1" s="1" t="s">
        <v>88</v>
      </c>
      <c r="BB1" s="1" t="s">
        <v>89</v>
      </c>
      <c r="BC1" s="1" t="s">
        <v>90</v>
      </c>
      <c r="BD1" s="1" t="s">
        <v>91</v>
      </c>
      <c r="BE1" s="1" t="s">
        <v>92</v>
      </c>
      <c r="BF1" s="1" t="s">
        <v>93</v>
      </c>
      <c r="BG1" s="1" t="s">
        <v>94</v>
      </c>
    </row>
    <row r="2" spans="1:105" x14ac:dyDescent="0.25">
      <c r="A2" s="3" t="s">
        <v>260</v>
      </c>
      <c r="B2" s="3" t="s">
        <v>95</v>
      </c>
      <c r="C2" s="3" t="s">
        <v>96</v>
      </c>
      <c r="D2" s="3" t="s">
        <v>97</v>
      </c>
      <c r="E2" s="3" t="s">
        <v>98</v>
      </c>
      <c r="F2" s="24">
        <v>1.2</v>
      </c>
      <c r="G2" s="3">
        <v>2</v>
      </c>
      <c r="H2" s="3" t="s">
        <v>99</v>
      </c>
      <c r="I2" s="3" t="s">
        <v>100</v>
      </c>
      <c r="J2" s="26">
        <v>1.66</v>
      </c>
      <c r="K2" s="15">
        <v>0</v>
      </c>
      <c r="L2" s="3">
        <v>1.7</v>
      </c>
      <c r="M2" s="3">
        <v>0.8</v>
      </c>
      <c r="N2" s="24">
        <v>0.19</v>
      </c>
      <c r="O2" s="4">
        <v>45813</v>
      </c>
      <c r="P2" s="6">
        <v>39.757677999999999</v>
      </c>
      <c r="Q2" s="6">
        <v>-82.848482000000004</v>
      </c>
      <c r="R2" s="6">
        <v>39.758262999999999</v>
      </c>
      <c r="S2" s="6">
        <v>-82.849447999999995</v>
      </c>
      <c r="T2" s="27">
        <v>36.4</v>
      </c>
      <c r="U2" s="15">
        <v>25.7</v>
      </c>
      <c r="V2" s="28">
        <v>1.42</v>
      </c>
      <c r="W2" s="3">
        <v>18.100000000000001</v>
      </c>
      <c r="X2" s="3">
        <v>2.6</v>
      </c>
      <c r="Y2" s="3">
        <v>0.4</v>
      </c>
      <c r="Z2" s="26" t="s">
        <v>101</v>
      </c>
      <c r="AA2" s="3">
        <v>572</v>
      </c>
      <c r="AB2" s="3">
        <f>ROUND(AA2*U2,0)</f>
        <v>14700</v>
      </c>
      <c r="AC2" s="3" t="s">
        <v>146</v>
      </c>
      <c r="AD2" s="3" t="s">
        <v>103</v>
      </c>
      <c r="AE2" s="3" t="s">
        <v>103</v>
      </c>
      <c r="AF2" s="3">
        <v>39.757753999999998</v>
      </c>
      <c r="AG2" s="3">
        <v>-82.848510000000005</v>
      </c>
      <c r="AH2" s="3">
        <v>39.758062000000002</v>
      </c>
      <c r="AI2" s="3">
        <v>-82.848860000000002</v>
      </c>
      <c r="AJ2" s="3">
        <v>34</v>
      </c>
      <c r="AK2" s="3">
        <v>1.3</v>
      </c>
      <c r="AL2" s="15">
        <v>3.8</v>
      </c>
      <c r="AM2" s="3">
        <v>37</v>
      </c>
      <c r="AN2" s="3">
        <v>3.7</v>
      </c>
      <c r="AO2" s="15">
        <v>3</v>
      </c>
      <c r="AP2" s="3">
        <v>282</v>
      </c>
      <c r="AQ2" s="3">
        <v>71</v>
      </c>
      <c r="AR2" s="3">
        <v>4.5199999999999996</v>
      </c>
      <c r="AS2" s="3">
        <v>38</v>
      </c>
      <c r="AT2" s="3">
        <v>39</v>
      </c>
      <c r="AU2" s="3">
        <v>63</v>
      </c>
      <c r="AV2" s="17">
        <v>37.5</v>
      </c>
      <c r="AW2" s="3">
        <v>450</v>
      </c>
      <c r="AX2" s="3">
        <f>ROUND(100*AW2/(2*AA2),0)</f>
        <v>39</v>
      </c>
      <c r="AY2" s="3" t="s">
        <v>104</v>
      </c>
      <c r="AZ2" s="3" t="s">
        <v>105</v>
      </c>
      <c r="BA2" s="3">
        <v>14</v>
      </c>
      <c r="BB2" s="3">
        <v>35</v>
      </c>
      <c r="BC2" s="3" t="s">
        <v>16</v>
      </c>
      <c r="BD2" s="3" t="s">
        <v>18</v>
      </c>
      <c r="BE2" s="3" t="s">
        <v>18</v>
      </c>
      <c r="BF2" s="3" t="s">
        <v>16</v>
      </c>
      <c r="BG2" s="3" t="s">
        <v>16</v>
      </c>
    </row>
    <row r="3" spans="1:105" x14ac:dyDescent="0.25">
      <c r="A3" s="3" t="s">
        <v>261</v>
      </c>
      <c r="B3" s="3" t="s">
        <v>106</v>
      </c>
      <c r="C3" s="3" t="s">
        <v>96</v>
      </c>
      <c r="D3" s="3" t="s">
        <v>97</v>
      </c>
      <c r="E3" s="3" t="s">
        <v>107</v>
      </c>
      <c r="F3" s="24">
        <v>0.52</v>
      </c>
      <c r="G3" s="3">
        <v>1</v>
      </c>
      <c r="H3" s="3" t="s">
        <v>99</v>
      </c>
      <c r="I3" s="3" t="s">
        <v>100</v>
      </c>
      <c r="J3" s="26">
        <v>1.74</v>
      </c>
      <c r="K3" s="15">
        <v>0</v>
      </c>
      <c r="L3" s="15">
        <v>2.2999999999999998</v>
      </c>
      <c r="M3" s="3">
        <v>6.7</v>
      </c>
      <c r="N3" s="24">
        <v>0.42</v>
      </c>
      <c r="O3" s="4">
        <v>45811</v>
      </c>
      <c r="P3" s="6">
        <v>40.309519000000002</v>
      </c>
      <c r="Q3" s="6">
        <v>-82.941665</v>
      </c>
      <c r="R3" s="6">
        <v>40.309905000000001</v>
      </c>
      <c r="S3" s="6">
        <v>-82.942170000000004</v>
      </c>
      <c r="T3" s="3">
        <v>9.4</v>
      </c>
      <c r="U3" s="15">
        <v>16.399999999999999</v>
      </c>
      <c r="V3" s="24">
        <v>0.57999999999999996</v>
      </c>
      <c r="W3" s="3">
        <v>28.5</v>
      </c>
      <c r="X3" s="3">
        <v>2.7</v>
      </c>
      <c r="Y3" s="26">
        <v>0.9</v>
      </c>
      <c r="Z3" s="26" t="s">
        <v>108</v>
      </c>
      <c r="AA3" s="3">
        <v>347</v>
      </c>
      <c r="AB3" s="3">
        <f t="shared" ref="AB3:AB40" si="0">ROUND(AA3*U3,0)</f>
        <v>5691</v>
      </c>
      <c r="AC3" s="3" t="s">
        <v>102</v>
      </c>
      <c r="AD3" s="3" t="s">
        <v>109</v>
      </c>
      <c r="AE3" s="3" t="s">
        <v>109</v>
      </c>
      <c r="AF3" s="3">
        <v>40.309593</v>
      </c>
      <c r="AG3" s="3">
        <v>-82.941693999999998</v>
      </c>
      <c r="AH3" s="3">
        <v>40.309919999999998</v>
      </c>
      <c r="AI3" s="3">
        <v>-82.942064999999999</v>
      </c>
      <c r="AJ3" s="3">
        <v>36</v>
      </c>
      <c r="AK3" s="3">
        <v>1.5</v>
      </c>
      <c r="AL3" s="15">
        <v>1.7</v>
      </c>
      <c r="AM3" s="3">
        <v>46</v>
      </c>
      <c r="AN3" s="3">
        <v>2.6</v>
      </c>
      <c r="AO3" s="3">
        <v>2.8</v>
      </c>
      <c r="AP3" s="3">
        <v>199</v>
      </c>
      <c r="AQ3" s="3">
        <v>229</v>
      </c>
      <c r="AR3" s="3">
        <v>18.48</v>
      </c>
      <c r="AS3" s="3">
        <v>12</v>
      </c>
      <c r="AT3" s="3">
        <v>15</v>
      </c>
      <c r="AU3" s="3">
        <v>74</v>
      </c>
      <c r="AV3" s="17">
        <v>1.5</v>
      </c>
      <c r="AW3" s="3">
        <v>252</v>
      </c>
      <c r="AX3" s="3">
        <f>ROUND(100*AW3/(2*AA3),0)</f>
        <v>36</v>
      </c>
      <c r="AY3" s="3" t="s">
        <v>110</v>
      </c>
      <c r="AZ3" s="3" t="s">
        <v>111</v>
      </c>
      <c r="BA3" s="3" t="s">
        <v>112</v>
      </c>
      <c r="BB3" s="3" t="s">
        <v>112</v>
      </c>
      <c r="BC3" s="3" t="s">
        <v>16</v>
      </c>
      <c r="BD3" s="3" t="s">
        <v>18</v>
      </c>
      <c r="BE3" s="3" t="s">
        <v>18</v>
      </c>
      <c r="BF3" s="3" t="s">
        <v>16</v>
      </c>
      <c r="BG3" s="3" t="s">
        <v>113</v>
      </c>
    </row>
    <row r="4" spans="1:105" x14ac:dyDescent="0.25">
      <c r="A4" s="3" t="s">
        <v>262</v>
      </c>
      <c r="B4" s="3" t="s">
        <v>114</v>
      </c>
      <c r="C4" s="3" t="s">
        <v>96</v>
      </c>
      <c r="D4" s="3" t="s">
        <v>97</v>
      </c>
      <c r="E4" s="3" t="s">
        <v>107</v>
      </c>
      <c r="F4" s="24">
        <v>0.63</v>
      </c>
      <c r="G4" s="3">
        <v>1</v>
      </c>
      <c r="H4" s="3" t="s">
        <v>99</v>
      </c>
      <c r="I4" s="3" t="s">
        <v>115</v>
      </c>
      <c r="J4" s="26">
        <v>1.29</v>
      </c>
      <c r="K4" s="15">
        <v>0</v>
      </c>
      <c r="L4" s="3">
        <v>41.9</v>
      </c>
      <c r="M4" s="15">
        <v>2.9</v>
      </c>
      <c r="N4" s="24">
        <v>0.38</v>
      </c>
      <c r="O4" s="4">
        <v>45812</v>
      </c>
      <c r="P4" s="6">
        <v>40.151614000000002</v>
      </c>
      <c r="Q4" s="6">
        <v>-83.032167999999999</v>
      </c>
      <c r="R4" s="6">
        <v>40.152458000000003</v>
      </c>
      <c r="S4" s="6">
        <v>-83.033311999999995</v>
      </c>
      <c r="T4" s="3">
        <v>18.8</v>
      </c>
      <c r="U4" s="15">
        <v>29.4</v>
      </c>
      <c r="V4" s="24">
        <v>0.64</v>
      </c>
      <c r="W4" s="3">
        <v>46.1</v>
      </c>
      <c r="X4" s="3">
        <v>1.5</v>
      </c>
      <c r="Y4" s="3">
        <v>1.8</v>
      </c>
      <c r="Z4" s="3" t="s">
        <v>116</v>
      </c>
      <c r="AA4" s="3">
        <v>661</v>
      </c>
      <c r="AB4" s="3">
        <f t="shared" si="0"/>
        <v>19433</v>
      </c>
      <c r="AC4" s="3" t="s">
        <v>102</v>
      </c>
      <c r="AD4" s="3" t="s">
        <v>103</v>
      </c>
      <c r="AE4" s="3" t="s">
        <v>103</v>
      </c>
      <c r="AF4" s="3">
        <v>40.151702999999998</v>
      </c>
      <c r="AG4" s="3">
        <v>-83.032163999999995</v>
      </c>
      <c r="AH4" s="3">
        <v>40.152430000000003</v>
      </c>
      <c r="AI4" s="3">
        <v>-83.032432999999997</v>
      </c>
      <c r="AJ4" s="6">
        <v>50</v>
      </c>
      <c r="AK4" s="6">
        <v>1.2</v>
      </c>
      <c r="AL4" s="16">
        <v>1.7</v>
      </c>
      <c r="AM4" s="6">
        <v>75</v>
      </c>
      <c r="AN4" s="6">
        <v>2.8</v>
      </c>
      <c r="AO4" s="6">
        <v>2.5</v>
      </c>
      <c r="AP4" s="6">
        <v>302</v>
      </c>
      <c r="AQ4" s="6">
        <v>495</v>
      </c>
      <c r="AR4" s="21">
        <v>36.799999999999997</v>
      </c>
      <c r="AS4" s="6">
        <v>27</v>
      </c>
      <c r="AT4" s="6">
        <v>18</v>
      </c>
      <c r="AU4" s="6">
        <v>69</v>
      </c>
      <c r="AV4" s="18">
        <v>3</v>
      </c>
      <c r="AW4" s="6">
        <v>155</v>
      </c>
      <c r="AX4" s="3">
        <f>ROUND(100*AW4/(2*AA4),0)</f>
        <v>12</v>
      </c>
      <c r="AY4" s="3" t="s">
        <v>117</v>
      </c>
      <c r="AZ4" s="3" t="s">
        <v>118</v>
      </c>
      <c r="BA4" s="3" t="s">
        <v>112</v>
      </c>
      <c r="BB4" s="3" t="s">
        <v>112</v>
      </c>
      <c r="BC4" s="3" t="s">
        <v>16</v>
      </c>
      <c r="BD4" s="3" t="s">
        <v>119</v>
      </c>
      <c r="BE4" s="3" t="s">
        <v>119</v>
      </c>
      <c r="BF4" s="3" t="s">
        <v>16</v>
      </c>
      <c r="BG4" s="3" t="s">
        <v>119</v>
      </c>
    </row>
    <row r="5" spans="1:105" x14ac:dyDescent="0.25">
      <c r="A5" s="3" t="s">
        <v>263</v>
      </c>
      <c r="B5" s="3" t="s">
        <v>120</v>
      </c>
      <c r="C5" s="3" t="s">
        <v>96</v>
      </c>
      <c r="D5" s="3" t="s">
        <v>97</v>
      </c>
      <c r="E5" s="3" t="s">
        <v>98</v>
      </c>
      <c r="F5" s="24">
        <v>0.52</v>
      </c>
      <c r="G5" s="3">
        <v>1</v>
      </c>
      <c r="H5" s="3" t="s">
        <v>99</v>
      </c>
      <c r="I5" s="3" t="s">
        <v>100</v>
      </c>
      <c r="J5" s="24">
        <v>1.3</v>
      </c>
      <c r="K5" s="15">
        <v>0</v>
      </c>
      <c r="L5" s="3">
        <v>4.5999999999999996</v>
      </c>
      <c r="M5" s="3">
        <v>2.6</v>
      </c>
      <c r="N5" s="24">
        <v>0.45</v>
      </c>
      <c r="O5" s="4">
        <v>45813</v>
      </c>
      <c r="P5" s="6">
        <v>39.758752000000001</v>
      </c>
      <c r="Q5" s="6">
        <v>-82.843708000000007</v>
      </c>
      <c r="R5" s="6">
        <v>39.758226999999998</v>
      </c>
      <c r="S5" s="6">
        <v>-82.844581000000005</v>
      </c>
      <c r="T5" s="3">
        <v>19.399999999999999</v>
      </c>
      <c r="U5" s="15">
        <v>20.8</v>
      </c>
      <c r="V5" s="24">
        <v>0.94</v>
      </c>
      <c r="W5" s="3">
        <v>22.2</v>
      </c>
      <c r="X5" s="3">
        <v>1.5</v>
      </c>
      <c r="Y5" s="3">
        <v>1.6</v>
      </c>
      <c r="Z5" s="3" t="s">
        <v>108</v>
      </c>
      <c r="AA5" s="3">
        <v>437</v>
      </c>
      <c r="AB5" s="3">
        <f t="shared" si="0"/>
        <v>9090</v>
      </c>
      <c r="AC5" s="3" t="s">
        <v>102</v>
      </c>
      <c r="AD5" s="3" t="s">
        <v>103</v>
      </c>
      <c r="AE5" s="3" t="s">
        <v>103</v>
      </c>
      <c r="AF5" s="3">
        <v>39.758752000000001</v>
      </c>
      <c r="AG5" s="3">
        <v>-82.843689999999995</v>
      </c>
      <c r="AH5" s="3">
        <v>39.758226000000001</v>
      </c>
      <c r="AI5" s="3">
        <v>-82.844448</v>
      </c>
      <c r="AJ5" s="3">
        <v>52</v>
      </c>
      <c r="AK5" s="3">
        <v>1.2</v>
      </c>
      <c r="AL5" s="15">
        <v>1.5</v>
      </c>
      <c r="AM5" s="3">
        <v>42</v>
      </c>
      <c r="AN5" s="3">
        <v>2.6</v>
      </c>
      <c r="AO5" s="3">
        <v>2.1</v>
      </c>
      <c r="AP5" s="3">
        <v>173</v>
      </c>
      <c r="AQ5" s="3">
        <v>185</v>
      </c>
      <c r="AR5" s="3">
        <v>20.56</v>
      </c>
      <c r="AS5" s="3">
        <v>26</v>
      </c>
      <c r="AT5" s="3">
        <v>50</v>
      </c>
      <c r="AU5" s="3">
        <v>85</v>
      </c>
      <c r="AV5" s="17">
        <v>9</v>
      </c>
      <c r="AW5" s="3">
        <v>223</v>
      </c>
      <c r="AX5" s="3">
        <f>ROUND(100*AW5/(2*AA5),0)</f>
        <v>26</v>
      </c>
      <c r="AY5" s="3" t="s">
        <v>110</v>
      </c>
      <c r="AZ5" s="3" t="s">
        <v>105</v>
      </c>
      <c r="BA5" s="3">
        <v>33</v>
      </c>
      <c r="BB5" s="3">
        <v>110</v>
      </c>
      <c r="BC5" s="3" t="s">
        <v>16</v>
      </c>
      <c r="BD5" s="3" t="s">
        <v>16</v>
      </c>
      <c r="BE5" s="3" t="s">
        <v>18</v>
      </c>
      <c r="BF5" s="3" t="s">
        <v>16</v>
      </c>
      <c r="BG5" s="3" t="s">
        <v>16</v>
      </c>
    </row>
    <row r="6" spans="1:105" x14ac:dyDescent="0.25">
      <c r="A6" s="3" t="s">
        <v>264</v>
      </c>
      <c r="B6" s="3" t="s">
        <v>121</v>
      </c>
      <c r="C6" s="3" t="s">
        <v>96</v>
      </c>
      <c r="D6" s="10" t="s">
        <v>97</v>
      </c>
      <c r="E6" s="3" t="s">
        <v>122</v>
      </c>
      <c r="F6" s="24">
        <v>0.81</v>
      </c>
      <c r="G6" s="3">
        <v>1</v>
      </c>
      <c r="H6" s="3" t="s">
        <v>99</v>
      </c>
      <c r="I6" s="3" t="s">
        <v>123</v>
      </c>
      <c r="J6" s="3">
        <v>1.79</v>
      </c>
      <c r="K6" s="15">
        <v>0</v>
      </c>
      <c r="L6" s="15">
        <v>2</v>
      </c>
      <c r="M6" s="3">
        <v>1.2</v>
      </c>
      <c r="N6" s="24">
        <v>0.59</v>
      </c>
      <c r="O6" s="4">
        <v>45845</v>
      </c>
      <c r="P6" s="6">
        <v>39.801814999999998</v>
      </c>
      <c r="Q6" s="6">
        <v>-82.754212999999993</v>
      </c>
      <c r="R6" s="6">
        <v>39.802135</v>
      </c>
      <c r="S6" s="6">
        <v>-82.753709999999998</v>
      </c>
      <c r="T6" s="15">
        <v>17.47</v>
      </c>
      <c r="U6" s="15">
        <v>13.03</v>
      </c>
      <c r="V6" s="24">
        <v>1.34</v>
      </c>
      <c r="W6" s="15">
        <v>9.7200000000000006</v>
      </c>
      <c r="X6" s="15">
        <v>2.2200000000000002</v>
      </c>
      <c r="Y6" s="15">
        <v>1</v>
      </c>
      <c r="Z6" s="3" t="s">
        <v>124</v>
      </c>
      <c r="AA6" s="3">
        <v>328</v>
      </c>
      <c r="AB6" s="3">
        <f t="shared" si="0"/>
        <v>4274</v>
      </c>
      <c r="AC6" s="3" t="s">
        <v>102</v>
      </c>
      <c r="AD6" s="3" t="s">
        <v>103</v>
      </c>
      <c r="AE6" s="3" t="s">
        <v>103</v>
      </c>
      <c r="AF6" s="3">
        <v>39.801814</v>
      </c>
      <c r="AG6" s="3">
        <v>-82.75421</v>
      </c>
      <c r="AH6" s="3">
        <v>39.802132999999998</v>
      </c>
      <c r="AI6" s="3">
        <v>-82.753707000000006</v>
      </c>
      <c r="AJ6" s="3">
        <v>23</v>
      </c>
      <c r="AK6" s="3">
        <v>1.1000000000000001</v>
      </c>
      <c r="AL6" s="15">
        <v>2.5</v>
      </c>
      <c r="AM6" s="3">
        <v>65</v>
      </c>
      <c r="AN6" s="3">
        <v>4.7</v>
      </c>
      <c r="AO6" s="3">
        <v>2.1</v>
      </c>
      <c r="AP6" s="17">
        <v>169.25</v>
      </c>
      <c r="AQ6" s="17">
        <v>289.25</v>
      </c>
      <c r="AR6" s="3">
        <v>24.72</v>
      </c>
      <c r="AS6" s="17">
        <v>50.3</v>
      </c>
      <c r="AT6" s="17">
        <v>26.3</v>
      </c>
      <c r="AU6" s="17">
        <v>37.5</v>
      </c>
      <c r="AV6" s="17">
        <v>74</v>
      </c>
      <c r="AW6" s="17">
        <v>161.5</v>
      </c>
      <c r="AX6" s="3">
        <f t="shared" ref="AX6:AX40" si="1">ROUND(100*AW6/(2*AA6),0)</f>
        <v>25</v>
      </c>
      <c r="AY6" s="3" t="s">
        <v>249</v>
      </c>
      <c r="AZ6" s="3" t="s">
        <v>105</v>
      </c>
      <c r="BA6" s="3">
        <v>16</v>
      </c>
      <c r="BB6" s="3">
        <v>29</v>
      </c>
      <c r="BC6" s="11" t="s">
        <v>16</v>
      </c>
      <c r="BD6" s="3" t="s">
        <v>18</v>
      </c>
      <c r="BE6" s="3" t="s">
        <v>18</v>
      </c>
      <c r="BF6" s="3" t="s">
        <v>18</v>
      </c>
      <c r="BG6" s="3" t="s">
        <v>18</v>
      </c>
    </row>
    <row r="7" spans="1:105" s="12" customFormat="1" x14ac:dyDescent="0.25">
      <c r="A7" s="3" t="s">
        <v>265</v>
      </c>
      <c r="B7" s="6" t="s">
        <v>125</v>
      </c>
      <c r="C7" s="6" t="s">
        <v>96</v>
      </c>
      <c r="D7" s="3" t="s">
        <v>97</v>
      </c>
      <c r="E7" s="13" t="s">
        <v>139</v>
      </c>
      <c r="F7" s="24">
        <v>177.28</v>
      </c>
      <c r="G7" s="6">
        <v>3</v>
      </c>
      <c r="H7" s="6" t="s">
        <v>142</v>
      </c>
      <c r="I7" s="6" t="s">
        <v>123</v>
      </c>
      <c r="J7" s="6">
        <v>1.0900000000000001</v>
      </c>
      <c r="K7" s="16">
        <v>2.1</v>
      </c>
      <c r="L7" s="6">
        <v>2.6</v>
      </c>
      <c r="M7" s="6">
        <v>2.4</v>
      </c>
      <c r="N7" s="21">
        <v>0.12</v>
      </c>
      <c r="O7" s="14">
        <v>45846</v>
      </c>
      <c r="P7" s="6">
        <v>39.901929000000003</v>
      </c>
      <c r="Q7" s="6">
        <v>-83.246032999999997</v>
      </c>
      <c r="R7" s="6">
        <v>39.898612999999997</v>
      </c>
      <c r="S7" s="6">
        <v>-83.237189000000001</v>
      </c>
      <c r="T7" s="16">
        <v>633.35</v>
      </c>
      <c r="U7" s="16">
        <v>167.7</v>
      </c>
      <c r="V7" s="21">
        <v>3.78</v>
      </c>
      <c r="W7" s="16">
        <v>44.36</v>
      </c>
      <c r="X7" s="16">
        <v>4.96</v>
      </c>
      <c r="Y7" s="6">
        <v>0.2</v>
      </c>
      <c r="Z7" s="6" t="s">
        <v>101</v>
      </c>
      <c r="AA7" s="6">
        <v>3495</v>
      </c>
      <c r="AB7" s="3">
        <f t="shared" si="0"/>
        <v>586112</v>
      </c>
      <c r="AC7" s="6" t="s">
        <v>102</v>
      </c>
      <c r="AD7" s="6" t="s">
        <v>103</v>
      </c>
      <c r="AE7" s="6" t="s">
        <v>103</v>
      </c>
      <c r="AF7" s="3">
        <v>39.900739999999999</v>
      </c>
      <c r="AG7" s="3">
        <v>-83.242383000000004</v>
      </c>
      <c r="AH7" s="3">
        <v>39.900756000000001</v>
      </c>
      <c r="AI7" s="3">
        <v>-83.241197</v>
      </c>
      <c r="AJ7" s="6">
        <v>64</v>
      </c>
      <c r="AK7" s="16">
        <v>1</v>
      </c>
      <c r="AL7" s="16">
        <v>5.9</v>
      </c>
      <c r="AM7" s="6">
        <v>61</v>
      </c>
      <c r="AN7" s="6">
        <v>9.9</v>
      </c>
      <c r="AO7" s="6">
        <v>2.5</v>
      </c>
      <c r="AP7" s="18">
        <v>677.7</v>
      </c>
      <c r="AQ7" s="18">
        <v>614.29999999999995</v>
      </c>
      <c r="AR7" s="6">
        <v>38.880000000000003</v>
      </c>
      <c r="AS7" s="18">
        <v>85.3</v>
      </c>
      <c r="AT7" s="18">
        <v>9</v>
      </c>
      <c r="AU7" s="18">
        <v>58.8</v>
      </c>
      <c r="AV7" s="18">
        <v>24.8</v>
      </c>
      <c r="AW7" s="18">
        <v>564.35</v>
      </c>
      <c r="AX7" s="3">
        <f t="shared" si="1"/>
        <v>8</v>
      </c>
      <c r="AY7" s="6" t="s">
        <v>117</v>
      </c>
      <c r="AZ7" s="6" t="s">
        <v>105</v>
      </c>
      <c r="BA7" s="6">
        <v>47</v>
      </c>
      <c r="BB7" s="6">
        <v>92</v>
      </c>
      <c r="BC7" s="6" t="s">
        <v>16</v>
      </c>
      <c r="BD7" s="6" t="s">
        <v>16</v>
      </c>
      <c r="BE7" s="6" t="s">
        <v>16</v>
      </c>
      <c r="BF7" s="6" t="s">
        <v>16</v>
      </c>
      <c r="BG7" s="6" t="s">
        <v>16</v>
      </c>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row>
    <row r="8" spans="1:105" x14ac:dyDescent="0.25">
      <c r="A8" s="3" t="s">
        <v>266</v>
      </c>
      <c r="B8" s="3" t="s">
        <v>126</v>
      </c>
      <c r="C8" s="3" t="s">
        <v>96</v>
      </c>
      <c r="D8" s="3" t="s">
        <v>131</v>
      </c>
      <c r="E8" s="13" t="s">
        <v>132</v>
      </c>
      <c r="F8" s="21">
        <v>1.1599999999999999</v>
      </c>
      <c r="G8" s="6">
        <v>2</v>
      </c>
      <c r="H8" s="3" t="s">
        <v>143</v>
      </c>
      <c r="I8" s="10" t="s">
        <v>100</v>
      </c>
      <c r="J8" s="6">
        <v>1.07</v>
      </c>
      <c r="K8" s="16">
        <v>0</v>
      </c>
      <c r="L8" s="3">
        <v>2.1</v>
      </c>
      <c r="M8" s="3">
        <v>1.8</v>
      </c>
      <c r="N8" s="24">
        <v>0.14000000000000001</v>
      </c>
      <c r="O8" s="10" t="s">
        <v>127</v>
      </c>
      <c r="P8" s="6">
        <v>40.188653000000002</v>
      </c>
      <c r="Q8" s="6">
        <v>-83.979226999999995</v>
      </c>
      <c r="R8" s="6">
        <v>40.189467999999998</v>
      </c>
      <c r="S8" s="6">
        <v>-83.978218999999996</v>
      </c>
      <c r="T8" s="15">
        <v>15.5</v>
      </c>
      <c r="U8" s="15">
        <v>19.18</v>
      </c>
      <c r="V8" s="24">
        <v>0.81</v>
      </c>
      <c r="W8" s="15">
        <v>23.68</v>
      </c>
      <c r="X8" s="16">
        <v>2.58</v>
      </c>
      <c r="Y8" s="3">
        <v>1.1000000000000001</v>
      </c>
      <c r="Z8" s="6" t="s">
        <v>101</v>
      </c>
      <c r="AA8" s="17">
        <v>437.8</v>
      </c>
      <c r="AB8" s="3">
        <f t="shared" si="0"/>
        <v>8397</v>
      </c>
      <c r="AC8" s="10" t="s">
        <v>102</v>
      </c>
      <c r="AD8" s="10" t="s">
        <v>103</v>
      </c>
      <c r="AE8" s="10" t="s">
        <v>103</v>
      </c>
      <c r="AF8" s="3">
        <v>40.188898999999999</v>
      </c>
      <c r="AG8" s="3">
        <v>-83.978999000000002</v>
      </c>
      <c r="AH8" s="3">
        <v>40.189458999999999</v>
      </c>
      <c r="AI8" s="3">
        <v>-83.978217000000001</v>
      </c>
      <c r="AJ8" s="10" t="s">
        <v>128</v>
      </c>
      <c r="AK8" s="15">
        <v>1.2</v>
      </c>
      <c r="AL8" s="15">
        <v>4</v>
      </c>
      <c r="AM8" s="3">
        <v>56</v>
      </c>
      <c r="AN8" s="3">
        <v>2.1</v>
      </c>
      <c r="AO8" s="3">
        <v>4.3</v>
      </c>
      <c r="AP8" s="17">
        <v>301.5</v>
      </c>
      <c r="AQ8" s="17">
        <v>201.25</v>
      </c>
      <c r="AR8" s="3">
        <v>43.14</v>
      </c>
      <c r="AS8" s="17">
        <v>26.3</v>
      </c>
      <c r="AT8" s="17">
        <v>50.3</v>
      </c>
      <c r="AU8" s="17">
        <v>85</v>
      </c>
      <c r="AV8" s="17">
        <v>3</v>
      </c>
      <c r="AW8" s="17">
        <v>33.5</v>
      </c>
      <c r="AX8" s="3">
        <f t="shared" si="1"/>
        <v>4</v>
      </c>
      <c r="AY8" s="10" t="s">
        <v>104</v>
      </c>
      <c r="AZ8" s="10" t="s">
        <v>105</v>
      </c>
      <c r="BA8" s="3">
        <v>26</v>
      </c>
      <c r="BB8" s="3">
        <v>52</v>
      </c>
      <c r="BC8" s="10" t="s">
        <v>16</v>
      </c>
      <c r="BD8" s="10" t="s">
        <v>18</v>
      </c>
      <c r="BE8" s="10" t="s">
        <v>16</v>
      </c>
      <c r="BF8" s="10" t="s">
        <v>16</v>
      </c>
      <c r="BG8" s="10" t="s">
        <v>16</v>
      </c>
    </row>
    <row r="9" spans="1:105" x14ac:dyDescent="0.25">
      <c r="A9" s="3" t="s">
        <v>267</v>
      </c>
      <c r="B9" s="3" t="s">
        <v>129</v>
      </c>
      <c r="C9" s="3" t="s">
        <v>96</v>
      </c>
      <c r="D9" s="3" t="s">
        <v>131</v>
      </c>
      <c r="E9" s="13" t="s">
        <v>133</v>
      </c>
      <c r="F9" s="21">
        <v>13.18</v>
      </c>
      <c r="G9" s="6">
        <v>2</v>
      </c>
      <c r="H9" s="3" t="s">
        <v>99</v>
      </c>
      <c r="I9" s="10" t="s">
        <v>123</v>
      </c>
      <c r="J9" s="3">
        <v>1.17</v>
      </c>
      <c r="K9" s="15">
        <v>0</v>
      </c>
      <c r="L9" s="3">
        <v>1.9</v>
      </c>
      <c r="M9" s="3">
        <v>3.1</v>
      </c>
      <c r="N9" s="24">
        <v>0.17</v>
      </c>
      <c r="O9" s="10" t="s">
        <v>134</v>
      </c>
      <c r="P9" s="6">
        <v>39.929667999999999</v>
      </c>
      <c r="Q9" s="6">
        <v>-83.721254999999999</v>
      </c>
      <c r="R9" s="6">
        <v>39.930703000000001</v>
      </c>
      <c r="S9" s="6">
        <v>-83.723687999999996</v>
      </c>
      <c r="T9" s="15">
        <v>118.86</v>
      </c>
      <c r="U9" s="15">
        <v>42.32</v>
      </c>
      <c r="V9" s="24">
        <v>2.81</v>
      </c>
      <c r="W9" s="15">
        <v>15.06</v>
      </c>
      <c r="X9" s="15">
        <v>2.2999999999999998</v>
      </c>
      <c r="Y9" s="3">
        <v>0.5</v>
      </c>
      <c r="Z9" s="6" t="s">
        <v>101</v>
      </c>
      <c r="AA9" s="3">
        <v>914</v>
      </c>
      <c r="AB9" s="3">
        <f t="shared" si="0"/>
        <v>38680</v>
      </c>
      <c r="AC9" s="10" t="s">
        <v>102</v>
      </c>
      <c r="AD9" s="10" t="s">
        <v>103</v>
      </c>
      <c r="AE9" s="10" t="s">
        <v>103</v>
      </c>
      <c r="AF9" s="3">
        <v>39.929671999999997</v>
      </c>
      <c r="AG9" s="3">
        <v>-83.721249</v>
      </c>
      <c r="AH9" s="3">
        <v>39.929805999999999</v>
      </c>
      <c r="AI9" s="3">
        <v>-83.722342999999995</v>
      </c>
      <c r="AJ9" s="10" t="s">
        <v>128</v>
      </c>
      <c r="AK9" s="15">
        <v>1.1000000000000001</v>
      </c>
      <c r="AL9" s="15">
        <v>2.2999999999999998</v>
      </c>
      <c r="AM9" s="3">
        <v>44</v>
      </c>
      <c r="AN9" s="3">
        <v>6.1</v>
      </c>
      <c r="AO9" s="3">
        <v>1.9</v>
      </c>
      <c r="AP9" s="19">
        <v>60.75</v>
      </c>
      <c r="AQ9" s="19">
        <v>885.75</v>
      </c>
      <c r="AR9" s="3">
        <v>31.93</v>
      </c>
      <c r="AS9" s="17">
        <v>24.3</v>
      </c>
      <c r="AT9" s="17">
        <v>4</v>
      </c>
      <c r="AU9" s="17">
        <v>54.4</v>
      </c>
      <c r="AV9" s="17">
        <v>58.7</v>
      </c>
      <c r="AW9" s="17">
        <v>500</v>
      </c>
      <c r="AX9" s="3">
        <f t="shared" si="1"/>
        <v>27</v>
      </c>
      <c r="AY9" s="10" t="s">
        <v>135</v>
      </c>
      <c r="AZ9" s="10" t="s">
        <v>105</v>
      </c>
      <c r="BA9" s="3">
        <v>28</v>
      </c>
      <c r="BB9" s="3">
        <v>72</v>
      </c>
      <c r="BC9" s="10" t="s">
        <v>16</v>
      </c>
      <c r="BD9" s="10" t="s">
        <v>16</v>
      </c>
      <c r="BE9" s="10" t="s">
        <v>18</v>
      </c>
      <c r="BF9" s="10" t="s">
        <v>18</v>
      </c>
      <c r="BG9" s="10" t="s">
        <v>18</v>
      </c>
    </row>
    <row r="10" spans="1:105" x14ac:dyDescent="0.25">
      <c r="A10" s="3" t="s">
        <v>268</v>
      </c>
      <c r="B10" s="13" t="s">
        <v>255</v>
      </c>
      <c r="C10" s="6" t="s">
        <v>96</v>
      </c>
      <c r="D10" s="6" t="s">
        <v>97</v>
      </c>
      <c r="E10" s="6" t="s">
        <v>197</v>
      </c>
      <c r="F10" s="21">
        <v>0.05</v>
      </c>
      <c r="G10" s="6">
        <v>1</v>
      </c>
      <c r="H10" s="6" t="s">
        <v>143</v>
      </c>
      <c r="I10" s="6" t="s">
        <v>123</v>
      </c>
      <c r="J10" s="6">
        <v>1.1599999999999999</v>
      </c>
      <c r="K10" s="16">
        <v>12.8</v>
      </c>
      <c r="L10" s="6">
        <v>2.1</v>
      </c>
      <c r="M10" s="6">
        <v>1.8</v>
      </c>
      <c r="N10" s="21">
        <v>0.59</v>
      </c>
      <c r="O10" s="14">
        <v>45859</v>
      </c>
      <c r="P10" s="6">
        <v>40.29757</v>
      </c>
      <c r="Q10" s="6">
        <v>-83.576052000000004</v>
      </c>
      <c r="R10" s="6">
        <v>40.297651000000002</v>
      </c>
      <c r="S10" s="6">
        <v>-83.575421000000006</v>
      </c>
      <c r="T10" s="6">
        <v>4.3</v>
      </c>
      <c r="U10" s="16">
        <v>8</v>
      </c>
      <c r="V10" s="21">
        <v>0.5</v>
      </c>
      <c r="W10" s="6">
        <v>14.9</v>
      </c>
      <c r="X10" s="16">
        <v>8</v>
      </c>
      <c r="Y10" s="6">
        <v>1.4</v>
      </c>
      <c r="Z10" s="6" t="s">
        <v>101</v>
      </c>
      <c r="AA10" s="6">
        <v>222</v>
      </c>
      <c r="AB10" s="3">
        <f t="shared" si="0"/>
        <v>1776</v>
      </c>
      <c r="AC10" s="6" t="s">
        <v>146</v>
      </c>
      <c r="AD10" s="6" t="s">
        <v>103</v>
      </c>
      <c r="AE10" s="6" t="s">
        <v>103</v>
      </c>
      <c r="AF10" s="3">
        <v>40.297570999999998</v>
      </c>
      <c r="AG10" s="3">
        <v>-83.576109000000002</v>
      </c>
      <c r="AH10" s="3">
        <v>40.297652999999997</v>
      </c>
      <c r="AI10" s="3">
        <v>-83.575423999999998</v>
      </c>
      <c r="AJ10" s="6">
        <v>24</v>
      </c>
      <c r="AK10" s="16">
        <v>1.2</v>
      </c>
      <c r="AL10" s="16">
        <v>4.3</v>
      </c>
      <c r="AM10" s="6">
        <v>46</v>
      </c>
      <c r="AN10" s="6">
        <v>5.5</v>
      </c>
      <c r="AO10" s="6">
        <v>2.5</v>
      </c>
      <c r="AP10" s="6">
        <v>214</v>
      </c>
      <c r="AQ10" s="6">
        <v>89</v>
      </c>
      <c r="AR10" s="6">
        <v>21.73</v>
      </c>
      <c r="AS10" s="6">
        <v>15</v>
      </c>
      <c r="AT10" s="6">
        <v>50</v>
      </c>
      <c r="AU10" s="6">
        <v>85</v>
      </c>
      <c r="AV10" s="6">
        <v>9</v>
      </c>
      <c r="AW10" s="6">
        <v>80</v>
      </c>
      <c r="AX10" s="3">
        <f t="shared" si="1"/>
        <v>18</v>
      </c>
      <c r="AY10" s="6" t="s">
        <v>104</v>
      </c>
      <c r="AZ10" s="6" t="s">
        <v>105</v>
      </c>
      <c r="BA10" s="6">
        <v>4</v>
      </c>
      <c r="BB10" s="6">
        <v>10</v>
      </c>
      <c r="BC10" s="6" t="s">
        <v>16</v>
      </c>
      <c r="BD10" s="6" t="s">
        <v>16</v>
      </c>
      <c r="BE10" s="6" t="s">
        <v>16</v>
      </c>
      <c r="BF10" s="6" t="s">
        <v>18</v>
      </c>
      <c r="BG10" s="6" t="s">
        <v>18</v>
      </c>
      <c r="BH10" s="12"/>
    </row>
    <row r="11" spans="1:105" x14ac:dyDescent="0.25">
      <c r="A11" s="6" t="s">
        <v>199</v>
      </c>
      <c r="B11" s="6" t="s">
        <v>204</v>
      </c>
      <c r="C11" s="6" t="s">
        <v>96</v>
      </c>
      <c r="D11" s="6" t="s">
        <v>97</v>
      </c>
      <c r="E11" s="6" t="s">
        <v>197</v>
      </c>
      <c r="F11" s="21">
        <v>0.1</v>
      </c>
      <c r="G11" s="6">
        <v>1</v>
      </c>
      <c r="H11" s="6" t="s">
        <v>143</v>
      </c>
      <c r="I11" s="6" t="s">
        <v>100</v>
      </c>
      <c r="J11" s="6">
        <v>1.18</v>
      </c>
      <c r="K11" s="16">
        <v>71.599999999999994</v>
      </c>
      <c r="L11" s="6">
        <v>1.9</v>
      </c>
      <c r="M11" s="6">
        <v>1.9</v>
      </c>
      <c r="N11" s="21">
        <v>0.36</v>
      </c>
      <c r="O11" s="14">
        <v>45859</v>
      </c>
      <c r="P11" s="6">
        <v>40.299770000000002</v>
      </c>
      <c r="Q11" s="6">
        <v>-83.573676000000006</v>
      </c>
      <c r="R11" s="6">
        <v>40.299641000000001</v>
      </c>
      <c r="S11" s="6">
        <v>-83.572781000000006</v>
      </c>
      <c r="T11" s="16">
        <v>6</v>
      </c>
      <c r="U11" s="6">
        <v>14.5</v>
      </c>
      <c r="V11" s="21">
        <v>0.4</v>
      </c>
      <c r="W11" s="6">
        <v>35.1</v>
      </c>
      <c r="X11" s="6">
        <v>1.8</v>
      </c>
      <c r="Y11" s="6">
        <v>1.3</v>
      </c>
      <c r="Z11" s="6" t="s">
        <v>150</v>
      </c>
      <c r="AA11" s="6">
        <v>299</v>
      </c>
      <c r="AB11" s="3">
        <f t="shared" si="0"/>
        <v>4336</v>
      </c>
      <c r="AC11" s="6" t="s">
        <v>102</v>
      </c>
      <c r="AD11" s="6" t="s">
        <v>109</v>
      </c>
      <c r="AE11" s="6" t="s">
        <v>103</v>
      </c>
      <c r="AF11" s="3">
        <v>40.299734000000001</v>
      </c>
      <c r="AG11" s="3">
        <v>-83.573687000000007</v>
      </c>
      <c r="AH11" s="3">
        <v>40.299655000000001</v>
      </c>
      <c r="AI11" s="3">
        <v>-83.572777000000002</v>
      </c>
      <c r="AJ11" s="6">
        <v>25</v>
      </c>
      <c r="AK11" s="16">
        <v>2</v>
      </c>
      <c r="AL11" s="16">
        <v>1.4</v>
      </c>
      <c r="AM11" s="6">
        <v>58</v>
      </c>
      <c r="AN11" s="6">
        <v>3.4</v>
      </c>
      <c r="AO11" s="6">
        <v>4.4000000000000004</v>
      </c>
      <c r="AP11" s="6">
        <v>172</v>
      </c>
      <c r="AQ11" s="6">
        <v>190</v>
      </c>
      <c r="AR11" s="6">
        <v>19.09</v>
      </c>
      <c r="AS11" s="6">
        <v>80</v>
      </c>
      <c r="AT11" s="6">
        <v>26</v>
      </c>
      <c r="AU11" s="6">
        <v>74</v>
      </c>
      <c r="AV11" s="6">
        <v>26</v>
      </c>
      <c r="AW11" s="6">
        <v>157</v>
      </c>
      <c r="AX11" s="3">
        <f t="shared" si="1"/>
        <v>26</v>
      </c>
      <c r="AY11" s="6" t="s">
        <v>104</v>
      </c>
      <c r="AZ11" s="6" t="s">
        <v>105</v>
      </c>
      <c r="BA11" s="6">
        <v>27</v>
      </c>
      <c r="BB11" s="6">
        <v>56</v>
      </c>
      <c r="BC11" s="6" t="s">
        <v>18</v>
      </c>
      <c r="BD11" s="6" t="s">
        <v>18</v>
      </c>
      <c r="BE11" s="6" t="s">
        <v>18</v>
      </c>
      <c r="BF11" s="6" t="s">
        <v>16</v>
      </c>
      <c r="BG11" s="6" t="s">
        <v>18</v>
      </c>
    </row>
    <row r="12" spans="1:105" x14ac:dyDescent="0.25">
      <c r="A12" s="6" t="s">
        <v>200</v>
      </c>
      <c r="B12" s="6" t="s">
        <v>205</v>
      </c>
      <c r="C12" s="6" t="s">
        <v>96</v>
      </c>
      <c r="D12" s="6" t="s">
        <v>206</v>
      </c>
      <c r="E12" s="6" t="s">
        <v>207</v>
      </c>
      <c r="F12" s="21">
        <v>1.86</v>
      </c>
      <c r="G12" s="6">
        <v>2</v>
      </c>
      <c r="H12" s="6" t="s">
        <v>99</v>
      </c>
      <c r="I12" s="6" t="s">
        <v>123</v>
      </c>
      <c r="J12" s="21">
        <v>1.1000000000000001</v>
      </c>
      <c r="K12" s="16">
        <v>39.6</v>
      </c>
      <c r="L12" s="6">
        <v>3.3</v>
      </c>
      <c r="M12" s="6">
        <v>1.6</v>
      </c>
      <c r="N12" s="21">
        <v>0.4</v>
      </c>
      <c r="O12" s="14">
        <v>45860</v>
      </c>
      <c r="P12" s="6">
        <v>39.623013999999998</v>
      </c>
      <c r="Q12" s="6">
        <v>-84.084138999999993</v>
      </c>
      <c r="R12" s="6">
        <v>39.624082000000001</v>
      </c>
      <c r="S12" s="6">
        <v>-84.084326000000004</v>
      </c>
      <c r="T12" s="6">
        <v>28.7</v>
      </c>
      <c r="U12" s="6">
        <v>26.6</v>
      </c>
      <c r="V12" s="21">
        <v>1.3</v>
      </c>
      <c r="W12" s="6">
        <v>16.3</v>
      </c>
      <c r="X12" s="6">
        <v>2.2000000000000002</v>
      </c>
      <c r="Y12" s="6">
        <v>1.2</v>
      </c>
      <c r="Z12" s="6" t="s">
        <v>108</v>
      </c>
      <c r="AA12" s="6">
        <v>434</v>
      </c>
      <c r="AB12" s="3">
        <f t="shared" si="0"/>
        <v>11544</v>
      </c>
      <c r="AC12" s="6" t="s">
        <v>102</v>
      </c>
      <c r="AD12" s="6" t="s">
        <v>103</v>
      </c>
      <c r="AE12" s="6" t="s">
        <v>103</v>
      </c>
      <c r="AF12" s="3">
        <v>39.623013999999998</v>
      </c>
      <c r="AG12" s="3">
        <v>-84.084151000000006</v>
      </c>
      <c r="AH12" s="3">
        <v>39.623860000000001</v>
      </c>
      <c r="AI12" s="3">
        <v>-84.084187</v>
      </c>
      <c r="AJ12" s="6">
        <v>42</v>
      </c>
      <c r="AK12" s="16">
        <v>1.3</v>
      </c>
      <c r="AL12" s="16">
        <v>1.6</v>
      </c>
      <c r="AM12" s="6">
        <v>67</v>
      </c>
      <c r="AN12" s="6">
        <v>2.4</v>
      </c>
      <c r="AO12" s="16">
        <v>2</v>
      </c>
      <c r="AP12" s="6">
        <v>302</v>
      </c>
      <c r="AQ12" s="6">
        <v>230</v>
      </c>
      <c r="AR12" s="6">
        <v>26.67</v>
      </c>
      <c r="AS12" s="6">
        <v>5</v>
      </c>
      <c r="AT12" s="6">
        <v>5</v>
      </c>
      <c r="AU12" s="6">
        <v>50</v>
      </c>
      <c r="AV12" s="6">
        <v>85</v>
      </c>
      <c r="AW12" s="6">
        <v>70</v>
      </c>
      <c r="AX12" s="3">
        <f t="shared" si="1"/>
        <v>8</v>
      </c>
      <c r="AY12" s="6" t="s">
        <v>149</v>
      </c>
      <c r="AZ12" s="6" t="s">
        <v>105</v>
      </c>
      <c r="BA12" s="6">
        <v>24</v>
      </c>
      <c r="BB12" s="6">
        <v>130</v>
      </c>
      <c r="BC12" s="6" t="s">
        <v>16</v>
      </c>
      <c r="BD12" s="6" t="s">
        <v>18</v>
      </c>
      <c r="BE12" s="6" t="s">
        <v>16</v>
      </c>
      <c r="BF12" s="6" t="s">
        <v>18</v>
      </c>
      <c r="BG12" s="6" t="s">
        <v>18</v>
      </c>
    </row>
    <row r="13" spans="1:105" x14ac:dyDescent="0.25">
      <c r="A13" s="6" t="s">
        <v>201</v>
      </c>
      <c r="B13" s="6" t="s">
        <v>208</v>
      </c>
      <c r="C13" s="6" t="s">
        <v>96</v>
      </c>
      <c r="D13" s="6" t="s">
        <v>131</v>
      </c>
      <c r="E13" s="6" t="s">
        <v>133</v>
      </c>
      <c r="F13" s="21">
        <v>37.06</v>
      </c>
      <c r="G13" s="6">
        <v>3</v>
      </c>
      <c r="H13" s="6" t="s">
        <v>99</v>
      </c>
      <c r="I13" s="6" t="s">
        <v>123</v>
      </c>
      <c r="J13" s="21">
        <v>1.55</v>
      </c>
      <c r="K13" s="16">
        <v>0</v>
      </c>
      <c r="L13" s="6">
        <v>3.6</v>
      </c>
      <c r="M13" s="6">
        <v>2.8</v>
      </c>
      <c r="N13" s="21">
        <v>0.17</v>
      </c>
      <c r="O13" s="14">
        <v>45861</v>
      </c>
      <c r="P13" s="6">
        <v>39.930928999999999</v>
      </c>
      <c r="Q13" s="6">
        <v>-83.723633000000007</v>
      </c>
      <c r="R13" s="6">
        <v>39.931215999999999</v>
      </c>
      <c r="S13" s="6">
        <v>-83.725837999999996</v>
      </c>
      <c r="T13" s="3">
        <v>98.4</v>
      </c>
      <c r="U13" s="3">
        <v>41.8</v>
      </c>
      <c r="V13" s="24">
        <v>2.4</v>
      </c>
      <c r="W13" s="3">
        <v>17.7</v>
      </c>
      <c r="X13" s="3">
        <v>1.7</v>
      </c>
      <c r="Y13" s="3">
        <v>0.4</v>
      </c>
      <c r="Z13" s="20" t="s">
        <v>185</v>
      </c>
      <c r="AA13" s="3">
        <v>969</v>
      </c>
      <c r="AB13" s="3">
        <f t="shared" si="0"/>
        <v>40504</v>
      </c>
      <c r="AC13" s="3" t="s">
        <v>102</v>
      </c>
      <c r="AD13" s="3" t="s">
        <v>103</v>
      </c>
      <c r="AE13" s="3" t="s">
        <v>103</v>
      </c>
      <c r="AF13" s="3">
        <v>39.931843999999998</v>
      </c>
      <c r="AG13" s="3">
        <v>-83.725019000000003</v>
      </c>
      <c r="AH13" s="3">
        <v>39.931305000000002</v>
      </c>
      <c r="AI13" s="3">
        <v>-83.725578999999996</v>
      </c>
      <c r="AJ13" s="3">
        <v>113</v>
      </c>
      <c r="AK13" s="15">
        <v>1.1000000000000001</v>
      </c>
      <c r="AL13" s="15">
        <v>2.5</v>
      </c>
      <c r="AM13" s="3">
        <v>29</v>
      </c>
      <c r="AN13" s="3">
        <v>3.2</v>
      </c>
      <c r="AO13" s="3">
        <v>2.9</v>
      </c>
      <c r="AP13" s="3">
        <v>378</v>
      </c>
      <c r="AQ13" s="3">
        <v>375</v>
      </c>
      <c r="AR13" s="3">
        <v>17.309999999999999</v>
      </c>
      <c r="AS13" s="3">
        <v>48</v>
      </c>
      <c r="AT13" s="3">
        <v>0</v>
      </c>
      <c r="AU13" s="3">
        <v>62</v>
      </c>
      <c r="AV13" s="3">
        <v>85</v>
      </c>
      <c r="AW13" s="3">
        <v>87</v>
      </c>
      <c r="AX13" s="3">
        <f t="shared" si="1"/>
        <v>4</v>
      </c>
      <c r="AY13" s="3" t="s">
        <v>149</v>
      </c>
      <c r="AZ13" s="3" t="s">
        <v>151</v>
      </c>
      <c r="BA13" s="3">
        <v>97</v>
      </c>
      <c r="BB13" s="3">
        <v>1100</v>
      </c>
      <c r="BC13" s="3" t="s">
        <v>16</v>
      </c>
      <c r="BD13" s="3" t="s">
        <v>18</v>
      </c>
      <c r="BE13" s="3" t="s">
        <v>16</v>
      </c>
      <c r="BF13" s="3" t="s">
        <v>16</v>
      </c>
      <c r="BG13" s="3" t="s">
        <v>16</v>
      </c>
    </row>
    <row r="14" spans="1:105" x14ac:dyDescent="0.25">
      <c r="A14" s="6" t="s">
        <v>202</v>
      </c>
      <c r="B14" s="6" t="s">
        <v>209</v>
      </c>
      <c r="C14" s="6" t="s">
        <v>96</v>
      </c>
      <c r="D14" s="6" t="s">
        <v>210</v>
      </c>
      <c r="E14" s="6" t="s">
        <v>211</v>
      </c>
      <c r="F14" s="24">
        <v>14.98</v>
      </c>
      <c r="G14" s="3">
        <v>2</v>
      </c>
      <c r="H14" s="3" t="s">
        <v>99</v>
      </c>
      <c r="I14" s="3" t="s">
        <v>123</v>
      </c>
      <c r="J14" s="24">
        <v>1.56</v>
      </c>
      <c r="K14" s="15">
        <v>77.7</v>
      </c>
      <c r="L14" s="3">
        <v>1.4</v>
      </c>
      <c r="M14" s="3">
        <v>1.5</v>
      </c>
      <c r="N14" s="24">
        <v>0.16</v>
      </c>
      <c r="O14" s="14">
        <v>45862</v>
      </c>
      <c r="P14" s="6">
        <v>39.285193</v>
      </c>
      <c r="Q14" s="6">
        <v>-83.448952000000006</v>
      </c>
      <c r="R14" s="6">
        <v>39.286997</v>
      </c>
      <c r="S14" s="6">
        <v>-83.449561000000003</v>
      </c>
      <c r="T14" s="3">
        <v>91.9</v>
      </c>
      <c r="U14" s="3">
        <v>48.3</v>
      </c>
      <c r="V14" s="24">
        <v>1.9</v>
      </c>
      <c r="W14" s="3">
        <v>25.4</v>
      </c>
      <c r="X14" s="3">
        <v>1.6</v>
      </c>
      <c r="Y14" s="3">
        <v>0.4</v>
      </c>
      <c r="Z14" s="3" t="s">
        <v>150</v>
      </c>
      <c r="AA14" s="3">
        <v>1061</v>
      </c>
      <c r="AB14" s="3">
        <f t="shared" si="0"/>
        <v>51246</v>
      </c>
      <c r="AC14" s="3" t="s">
        <v>102</v>
      </c>
      <c r="AD14" s="3" t="s">
        <v>103</v>
      </c>
      <c r="AE14" s="3" t="s">
        <v>103</v>
      </c>
      <c r="AF14" s="3">
        <v>39.286558999999997</v>
      </c>
      <c r="AG14" s="3">
        <v>-83.448712</v>
      </c>
      <c r="AH14" s="3">
        <v>39.287109999999998</v>
      </c>
      <c r="AI14" s="3">
        <v>-83.449318000000005</v>
      </c>
      <c r="AJ14" s="3">
        <v>12</v>
      </c>
      <c r="AK14" s="15">
        <v>2</v>
      </c>
      <c r="AL14" s="15">
        <v>1.2</v>
      </c>
      <c r="AM14" s="3">
        <v>40</v>
      </c>
      <c r="AN14" s="3">
        <v>2.2999999999999998</v>
      </c>
      <c r="AO14" s="3">
        <v>2.6</v>
      </c>
      <c r="AP14" s="3">
        <v>297</v>
      </c>
      <c r="AQ14" s="3">
        <v>879</v>
      </c>
      <c r="AR14" s="3">
        <v>50.11</v>
      </c>
      <c r="AS14" s="3">
        <v>71</v>
      </c>
      <c r="AT14" s="3">
        <v>18</v>
      </c>
      <c r="AU14" s="3">
        <v>62</v>
      </c>
      <c r="AV14" s="3">
        <v>5</v>
      </c>
      <c r="AW14" s="3">
        <v>506</v>
      </c>
      <c r="AX14" s="3">
        <f t="shared" si="1"/>
        <v>24</v>
      </c>
      <c r="AY14" s="3" t="s">
        <v>104</v>
      </c>
      <c r="AZ14" s="3" t="s">
        <v>105</v>
      </c>
      <c r="BA14" s="3" t="s">
        <v>112</v>
      </c>
      <c r="BB14" s="3" t="s">
        <v>112</v>
      </c>
      <c r="BC14" s="3" t="s">
        <v>16</v>
      </c>
      <c r="BD14" s="3" t="s">
        <v>26</v>
      </c>
      <c r="BE14" s="3" t="s">
        <v>18</v>
      </c>
      <c r="BF14" s="3" t="s">
        <v>18</v>
      </c>
      <c r="BG14" s="3" t="s">
        <v>18</v>
      </c>
    </row>
    <row r="15" spans="1:105" x14ac:dyDescent="0.25">
      <c r="A15" s="6" t="s">
        <v>203</v>
      </c>
      <c r="B15" s="6" t="s">
        <v>212</v>
      </c>
      <c r="C15" s="6" t="s">
        <v>96</v>
      </c>
      <c r="D15" s="6" t="s">
        <v>210</v>
      </c>
      <c r="E15" s="3" t="s">
        <v>211</v>
      </c>
      <c r="F15" s="24">
        <v>0.12</v>
      </c>
      <c r="G15" s="3">
        <v>1</v>
      </c>
      <c r="H15" s="3" t="s">
        <v>143</v>
      </c>
      <c r="I15" s="3" t="s">
        <v>123</v>
      </c>
      <c r="J15" s="24">
        <v>1.1200000000000001</v>
      </c>
      <c r="K15" s="15">
        <v>84.8</v>
      </c>
      <c r="L15" s="3">
        <v>1.5</v>
      </c>
      <c r="M15" s="3">
        <v>0.8</v>
      </c>
      <c r="N15" s="24">
        <v>0.87</v>
      </c>
      <c r="O15" s="14">
        <v>45863</v>
      </c>
      <c r="P15" s="6">
        <v>39.270330999999999</v>
      </c>
      <c r="Q15" s="6">
        <v>-83.411529999999999</v>
      </c>
      <c r="R15" s="6">
        <v>39.270817000000001</v>
      </c>
      <c r="S15" s="6">
        <v>-83.411050000000003</v>
      </c>
      <c r="T15" s="3">
        <v>5.6</v>
      </c>
      <c r="U15" s="3">
        <v>9.6999999999999993</v>
      </c>
      <c r="V15" s="24">
        <v>0.6</v>
      </c>
      <c r="W15" s="3">
        <v>16.8</v>
      </c>
      <c r="X15" s="3">
        <v>4.5999999999999996</v>
      </c>
      <c r="Y15" s="3">
        <v>4.3</v>
      </c>
      <c r="Z15" s="3" t="s">
        <v>213</v>
      </c>
      <c r="AA15" s="3">
        <v>250</v>
      </c>
      <c r="AB15" s="3">
        <f t="shared" si="0"/>
        <v>2425</v>
      </c>
      <c r="AC15" s="3" t="s">
        <v>102</v>
      </c>
      <c r="AD15" s="3" t="s">
        <v>103</v>
      </c>
      <c r="AE15" s="3" t="s">
        <v>103</v>
      </c>
      <c r="AF15" s="3">
        <v>39.270336</v>
      </c>
      <c r="AG15" s="3">
        <v>-83.411536999999996</v>
      </c>
      <c r="AH15" s="3">
        <v>39.270820999999998</v>
      </c>
      <c r="AI15" s="3">
        <v>-83.411060000000006</v>
      </c>
      <c r="AJ15" s="3">
        <v>16</v>
      </c>
      <c r="AK15" s="15">
        <v>1.2</v>
      </c>
      <c r="AL15" s="15">
        <v>4.2</v>
      </c>
      <c r="AM15" s="3">
        <v>69</v>
      </c>
      <c r="AN15" s="3">
        <v>1.5</v>
      </c>
      <c r="AO15" s="3">
        <v>2.4</v>
      </c>
      <c r="AP15" s="3">
        <v>107</v>
      </c>
      <c r="AQ15" s="3">
        <v>228</v>
      </c>
      <c r="AR15" s="24">
        <v>23.1</v>
      </c>
      <c r="AS15" s="3">
        <v>50</v>
      </c>
      <c r="AT15" s="3">
        <v>26</v>
      </c>
      <c r="AU15" s="3">
        <v>74</v>
      </c>
      <c r="AV15" s="3">
        <v>85</v>
      </c>
      <c r="AW15" s="3">
        <v>15</v>
      </c>
      <c r="AX15" s="3">
        <f t="shared" si="1"/>
        <v>3</v>
      </c>
      <c r="AY15" s="3" t="s">
        <v>149</v>
      </c>
      <c r="AZ15" s="3" t="s">
        <v>105</v>
      </c>
      <c r="BA15" s="3">
        <v>13</v>
      </c>
      <c r="BB15" s="3">
        <v>52</v>
      </c>
      <c r="BC15" s="3" t="s">
        <v>16</v>
      </c>
      <c r="BD15" s="3" t="s">
        <v>16</v>
      </c>
      <c r="BE15" s="3" t="s">
        <v>16</v>
      </c>
      <c r="BF15" s="3" t="s">
        <v>18</v>
      </c>
      <c r="BG15" s="3" t="s">
        <v>18</v>
      </c>
    </row>
    <row r="16" spans="1:105" s="12" customFormat="1" x14ac:dyDescent="0.25">
      <c r="A16" s="6" t="s">
        <v>137</v>
      </c>
      <c r="B16" s="6" t="s">
        <v>152</v>
      </c>
      <c r="C16" s="6" t="s">
        <v>96</v>
      </c>
      <c r="D16" s="3" t="s">
        <v>153</v>
      </c>
      <c r="E16" s="13" t="s">
        <v>179</v>
      </c>
      <c r="F16" s="21">
        <v>4.6761203317262297</v>
      </c>
      <c r="G16" s="22">
        <v>2</v>
      </c>
      <c r="H16" s="13" t="s">
        <v>99</v>
      </c>
      <c r="I16" s="6" t="s">
        <v>100</v>
      </c>
      <c r="J16" s="21">
        <v>1.1200000000000001</v>
      </c>
      <c r="K16" s="16">
        <v>2.4</v>
      </c>
      <c r="L16" s="6">
        <v>1.6</v>
      </c>
      <c r="M16" s="6">
        <v>1.6</v>
      </c>
      <c r="N16" s="21">
        <v>0.12</v>
      </c>
      <c r="O16" s="14">
        <v>45868</v>
      </c>
      <c r="P16" s="6">
        <v>39.596339</v>
      </c>
      <c r="Q16" s="6">
        <v>-84.752549000000002</v>
      </c>
      <c r="R16" s="6">
        <v>39.594208000000002</v>
      </c>
      <c r="S16" s="6">
        <v>-84.751857999999999</v>
      </c>
      <c r="T16" s="6">
        <v>60.7</v>
      </c>
      <c r="U16" s="6">
        <v>42.8</v>
      </c>
      <c r="V16" s="21">
        <v>1.42</v>
      </c>
      <c r="W16" s="6">
        <v>30.2</v>
      </c>
      <c r="X16" s="6">
        <v>1.5</v>
      </c>
      <c r="Y16" s="6">
        <v>1.3</v>
      </c>
      <c r="Z16" s="6" t="s">
        <v>167</v>
      </c>
      <c r="AA16" s="6">
        <v>862</v>
      </c>
      <c r="AB16" s="3">
        <f t="shared" si="0"/>
        <v>36894</v>
      </c>
      <c r="AC16" s="6" t="s">
        <v>102</v>
      </c>
      <c r="AD16" s="6" t="s">
        <v>103</v>
      </c>
      <c r="AE16" s="6" t="s">
        <v>103</v>
      </c>
      <c r="AF16" s="3">
        <v>39.595210000000002</v>
      </c>
      <c r="AG16" s="3">
        <v>-84.751767999999998</v>
      </c>
      <c r="AH16" s="3">
        <v>39.595973000000001</v>
      </c>
      <c r="AI16" s="3">
        <v>-84.752320999999995</v>
      </c>
      <c r="AJ16" s="6">
        <v>20</v>
      </c>
      <c r="AK16" s="16">
        <v>1</v>
      </c>
      <c r="AL16" s="16">
        <v>1.6</v>
      </c>
      <c r="AM16" s="6">
        <v>57</v>
      </c>
      <c r="AN16" s="6">
        <v>2.2999999999999998</v>
      </c>
      <c r="AO16" s="6">
        <v>1.7</v>
      </c>
      <c r="AP16" s="6">
        <v>141</v>
      </c>
      <c r="AQ16" s="6">
        <v>188</v>
      </c>
      <c r="AR16" s="6">
        <v>35.65</v>
      </c>
      <c r="AS16" s="6">
        <v>9</v>
      </c>
      <c r="AT16" s="6">
        <v>11</v>
      </c>
      <c r="AU16" s="6">
        <v>58</v>
      </c>
      <c r="AV16" s="6">
        <v>75</v>
      </c>
      <c r="AW16" s="6">
        <v>0</v>
      </c>
      <c r="AX16" s="3">
        <f t="shared" si="1"/>
        <v>0</v>
      </c>
      <c r="AY16" s="6" t="s">
        <v>149</v>
      </c>
      <c r="AZ16" s="6" t="s">
        <v>151</v>
      </c>
      <c r="BA16" s="6">
        <v>69</v>
      </c>
      <c r="BB16" s="6">
        <v>170</v>
      </c>
      <c r="BC16" s="6" t="s">
        <v>16</v>
      </c>
      <c r="BD16" s="6" t="s">
        <v>16</v>
      </c>
      <c r="BE16" s="6" t="s">
        <v>16</v>
      </c>
      <c r="BF16" s="6" t="s">
        <v>16</v>
      </c>
      <c r="BG16" s="6" t="s">
        <v>16</v>
      </c>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row>
    <row r="17" spans="1:1159" s="12" customFormat="1" x14ac:dyDescent="0.25">
      <c r="A17" s="6" t="s">
        <v>138</v>
      </c>
      <c r="B17" s="6" t="s">
        <v>168</v>
      </c>
      <c r="C17" s="6" t="s">
        <v>96</v>
      </c>
      <c r="D17" s="3" t="s">
        <v>153</v>
      </c>
      <c r="E17" s="13" t="s">
        <v>179</v>
      </c>
      <c r="F17" s="21">
        <v>31.01</v>
      </c>
      <c r="G17" s="22">
        <v>3</v>
      </c>
      <c r="H17" s="6" t="s">
        <v>142</v>
      </c>
      <c r="I17" s="6" t="s">
        <v>115</v>
      </c>
      <c r="J17" s="21">
        <v>1.04</v>
      </c>
      <c r="K17" s="16" t="s">
        <v>258</v>
      </c>
      <c r="L17" s="6">
        <v>1.4</v>
      </c>
      <c r="M17" s="6">
        <v>3.5</v>
      </c>
      <c r="N17" s="21">
        <v>7.0000000000000007E-2</v>
      </c>
      <c r="O17" s="14">
        <v>45869</v>
      </c>
      <c r="P17" s="6">
        <v>39.582202000000002</v>
      </c>
      <c r="Q17" s="6">
        <v>-84.774517000000003</v>
      </c>
      <c r="R17" s="6">
        <v>39.581954000000003</v>
      </c>
      <c r="S17" s="6">
        <v>-84.768197999999998</v>
      </c>
      <c r="T17" s="16">
        <v>300</v>
      </c>
      <c r="U17" s="6">
        <v>79.3</v>
      </c>
      <c r="V17" s="21">
        <v>3.78</v>
      </c>
      <c r="W17" s="6">
        <v>20.9</v>
      </c>
      <c r="X17" s="6">
        <v>1.8</v>
      </c>
      <c r="Y17" s="6">
        <v>1.2</v>
      </c>
      <c r="Z17" s="6" t="s">
        <v>167</v>
      </c>
      <c r="AA17" s="6">
        <v>1950</v>
      </c>
      <c r="AB17" s="3">
        <f t="shared" si="0"/>
        <v>154635</v>
      </c>
      <c r="AC17" s="6" t="s">
        <v>102</v>
      </c>
      <c r="AD17" s="6" t="s">
        <v>103</v>
      </c>
      <c r="AE17" s="6" t="s">
        <v>103</v>
      </c>
      <c r="AF17" s="3">
        <v>39.582237999999997</v>
      </c>
      <c r="AG17" s="3">
        <v>-84.774489000000003</v>
      </c>
      <c r="AH17" s="3">
        <v>39.581968000000003</v>
      </c>
      <c r="AI17" s="3">
        <v>-84.773407000000006</v>
      </c>
      <c r="AJ17" s="6">
        <v>120</v>
      </c>
      <c r="AK17" s="16">
        <v>1</v>
      </c>
      <c r="AL17" s="16">
        <v>2.5</v>
      </c>
      <c r="AM17" s="6">
        <v>42</v>
      </c>
      <c r="AN17" s="6">
        <v>3.8</v>
      </c>
      <c r="AO17" s="16">
        <v>2</v>
      </c>
      <c r="AP17" s="6">
        <v>247</v>
      </c>
      <c r="AQ17" s="6">
        <v>142</v>
      </c>
      <c r="AR17" s="6">
        <v>20.98</v>
      </c>
      <c r="AS17" s="6">
        <v>31</v>
      </c>
      <c r="AT17" s="6">
        <v>15</v>
      </c>
      <c r="AU17" s="6">
        <v>70</v>
      </c>
      <c r="AV17" s="6">
        <v>62</v>
      </c>
      <c r="AW17" s="6">
        <v>0</v>
      </c>
      <c r="AX17" s="3">
        <f t="shared" si="1"/>
        <v>0</v>
      </c>
      <c r="AY17" s="6" t="s">
        <v>169</v>
      </c>
      <c r="AZ17" s="6" t="s">
        <v>170</v>
      </c>
      <c r="BA17" s="6">
        <v>150</v>
      </c>
      <c r="BB17" s="6">
        <v>340</v>
      </c>
      <c r="BC17" s="6" t="s">
        <v>16</v>
      </c>
      <c r="BD17" s="6" t="s">
        <v>16</v>
      </c>
      <c r="BE17" s="6" t="s">
        <v>16</v>
      </c>
      <c r="BF17" s="6" t="s">
        <v>16</v>
      </c>
      <c r="BG17" s="6" t="s">
        <v>18</v>
      </c>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row>
    <row r="18" spans="1:1159" x14ac:dyDescent="0.25">
      <c r="A18" s="3" t="s">
        <v>269</v>
      </c>
      <c r="B18" s="3" t="s">
        <v>171</v>
      </c>
      <c r="C18" s="3" t="s">
        <v>147</v>
      </c>
      <c r="D18" s="3" t="s">
        <v>172</v>
      </c>
      <c r="E18" s="13" t="s">
        <v>173</v>
      </c>
      <c r="F18" s="24">
        <v>0.28999999999999998</v>
      </c>
      <c r="G18" s="20">
        <v>1</v>
      </c>
      <c r="H18" s="3" t="s">
        <v>142</v>
      </c>
      <c r="I18" s="3" t="s">
        <v>115</v>
      </c>
      <c r="J18" s="24">
        <v>1.08</v>
      </c>
      <c r="K18" s="15">
        <v>61.3</v>
      </c>
      <c r="L18" s="3">
        <v>2.6</v>
      </c>
      <c r="M18" s="3">
        <v>1.8</v>
      </c>
      <c r="N18" s="24">
        <v>0.81</v>
      </c>
      <c r="O18" s="4">
        <v>45866</v>
      </c>
      <c r="P18" s="6">
        <v>39.250228</v>
      </c>
      <c r="Q18" s="6">
        <v>-84.757154999999997</v>
      </c>
      <c r="R18" s="6">
        <v>39.251036999999997</v>
      </c>
      <c r="S18" s="6">
        <v>-84.757642000000004</v>
      </c>
      <c r="T18" s="3">
        <v>10.199999999999999</v>
      </c>
      <c r="U18" s="3">
        <v>13.8</v>
      </c>
      <c r="V18" s="24">
        <v>0.74</v>
      </c>
      <c r="W18" s="3">
        <v>18.600000000000001</v>
      </c>
      <c r="X18" s="3">
        <v>1.8</v>
      </c>
      <c r="Y18" s="3">
        <v>3.9</v>
      </c>
      <c r="Z18" s="3" t="s">
        <v>148</v>
      </c>
      <c r="AA18" s="3">
        <v>350</v>
      </c>
      <c r="AB18" s="3">
        <f t="shared" si="0"/>
        <v>4830</v>
      </c>
      <c r="AC18" s="3" t="s">
        <v>102</v>
      </c>
      <c r="AD18" s="3" t="s">
        <v>103</v>
      </c>
      <c r="AE18" s="3" t="s">
        <v>103</v>
      </c>
      <c r="AF18" s="3">
        <v>39.250235000000004</v>
      </c>
      <c r="AG18" s="3">
        <v>-84.757131999999999</v>
      </c>
      <c r="AH18" s="3">
        <v>39.250973999999999</v>
      </c>
      <c r="AI18" s="3">
        <v>-84.757580000000004</v>
      </c>
      <c r="AJ18" s="3">
        <v>40</v>
      </c>
      <c r="AK18" s="15">
        <v>1</v>
      </c>
      <c r="AL18" s="15">
        <v>2.2000000000000002</v>
      </c>
      <c r="AM18" s="3">
        <v>69</v>
      </c>
      <c r="AN18" s="3">
        <v>4.2</v>
      </c>
      <c r="AO18" s="3">
        <v>3.3</v>
      </c>
      <c r="AP18" s="3">
        <v>391</v>
      </c>
      <c r="AQ18" s="3">
        <v>504</v>
      </c>
      <c r="AR18" s="3">
        <v>20.29</v>
      </c>
      <c r="AS18" s="3">
        <v>39</v>
      </c>
      <c r="AT18" s="3">
        <v>26</v>
      </c>
      <c r="AU18" s="3">
        <v>63</v>
      </c>
      <c r="AV18" s="3">
        <v>50</v>
      </c>
      <c r="AW18" s="3">
        <v>139</v>
      </c>
      <c r="AX18" s="3">
        <f t="shared" si="1"/>
        <v>20</v>
      </c>
      <c r="AY18" s="3" t="s">
        <v>135</v>
      </c>
      <c r="AZ18" s="3" t="s">
        <v>105</v>
      </c>
      <c r="BA18" s="3">
        <v>26</v>
      </c>
      <c r="BB18" s="3">
        <v>82</v>
      </c>
      <c r="BC18" s="3" t="s">
        <v>16</v>
      </c>
      <c r="BD18" s="3" t="s">
        <v>16</v>
      </c>
      <c r="BE18" s="3" t="s">
        <v>16</v>
      </c>
      <c r="BF18" s="3" t="s">
        <v>16</v>
      </c>
      <c r="BG18" s="3" t="s">
        <v>18</v>
      </c>
    </row>
    <row r="19" spans="1:1159" x14ac:dyDescent="0.25">
      <c r="A19" s="3" t="s">
        <v>270</v>
      </c>
      <c r="B19" s="3" t="s">
        <v>174</v>
      </c>
      <c r="C19" s="3" t="s">
        <v>147</v>
      </c>
      <c r="D19" s="3" t="s">
        <v>172</v>
      </c>
      <c r="E19" s="13" t="s">
        <v>173</v>
      </c>
      <c r="F19" s="24">
        <v>0.56000000000000005</v>
      </c>
      <c r="G19" s="3">
        <v>1</v>
      </c>
      <c r="H19" s="3" t="s">
        <v>142</v>
      </c>
      <c r="I19" s="3" t="s">
        <v>115</v>
      </c>
      <c r="J19" s="24">
        <v>1.1000000000000001</v>
      </c>
      <c r="K19" s="15">
        <v>23.1</v>
      </c>
      <c r="L19" s="3">
        <v>3.5</v>
      </c>
      <c r="M19" s="3">
        <v>4.5</v>
      </c>
      <c r="N19" s="24">
        <v>0.6</v>
      </c>
      <c r="O19" s="4">
        <v>45866</v>
      </c>
      <c r="P19" s="6">
        <v>39.240324000000001</v>
      </c>
      <c r="Q19" s="6">
        <v>-84.734471999999997</v>
      </c>
      <c r="R19" s="6">
        <v>39.240555999999998</v>
      </c>
      <c r="S19" s="6">
        <v>-84.733385999999996</v>
      </c>
      <c r="T19" s="3">
        <v>16.7</v>
      </c>
      <c r="U19" s="15">
        <v>19</v>
      </c>
      <c r="V19" s="24">
        <v>0.88</v>
      </c>
      <c r="W19" s="3">
        <v>21.6</v>
      </c>
      <c r="X19" s="3">
        <v>1.4</v>
      </c>
      <c r="Y19" s="3">
        <v>1.1000000000000001</v>
      </c>
      <c r="Z19" s="3" t="s">
        <v>167</v>
      </c>
      <c r="AA19" s="3">
        <v>429</v>
      </c>
      <c r="AB19" s="3">
        <f t="shared" si="0"/>
        <v>8151</v>
      </c>
      <c r="AC19" s="3" t="s">
        <v>102</v>
      </c>
      <c r="AD19" s="3" t="s">
        <v>103</v>
      </c>
      <c r="AE19" s="3" t="s">
        <v>103</v>
      </c>
      <c r="AF19" s="3">
        <v>39.240282999999998</v>
      </c>
      <c r="AG19" s="3">
        <v>-84.734572999999997</v>
      </c>
      <c r="AH19" s="3">
        <v>39.240367999999997</v>
      </c>
      <c r="AI19" s="3">
        <v>-84.733673999999993</v>
      </c>
      <c r="AJ19" s="3">
        <v>30</v>
      </c>
      <c r="AK19" s="15">
        <v>1.1000000000000001</v>
      </c>
      <c r="AL19" s="15">
        <v>1.3</v>
      </c>
      <c r="AM19" s="3">
        <v>33</v>
      </c>
      <c r="AN19" s="3">
        <v>2.7</v>
      </c>
      <c r="AO19" s="3">
        <v>2.1</v>
      </c>
      <c r="AP19" s="3">
        <v>413</v>
      </c>
      <c r="AQ19" s="3">
        <v>375</v>
      </c>
      <c r="AR19" s="3">
        <v>19.559999999999999</v>
      </c>
      <c r="AS19" s="3">
        <v>26</v>
      </c>
      <c r="AT19" s="3">
        <v>38</v>
      </c>
      <c r="AU19" s="3">
        <v>61</v>
      </c>
      <c r="AV19" s="3">
        <v>26</v>
      </c>
      <c r="AW19" s="3">
        <v>163</v>
      </c>
      <c r="AX19" s="3">
        <f t="shared" si="1"/>
        <v>19</v>
      </c>
      <c r="AY19" s="3" t="s">
        <v>110</v>
      </c>
      <c r="AZ19" s="3" t="s">
        <v>151</v>
      </c>
      <c r="BA19" s="3">
        <v>90</v>
      </c>
      <c r="BB19" s="3">
        <v>210</v>
      </c>
      <c r="BC19" s="3" t="s">
        <v>16</v>
      </c>
      <c r="BD19" s="3" t="s">
        <v>16</v>
      </c>
      <c r="BE19" s="3" t="s">
        <v>18</v>
      </c>
      <c r="BF19" s="3" t="s">
        <v>16</v>
      </c>
      <c r="BG19" s="3" t="s">
        <v>16</v>
      </c>
    </row>
    <row r="20" spans="1:1159" s="12" customFormat="1" x14ac:dyDescent="0.25">
      <c r="A20" s="3" t="s">
        <v>271</v>
      </c>
      <c r="B20" s="6" t="s">
        <v>175</v>
      </c>
      <c r="C20" s="6" t="s">
        <v>147</v>
      </c>
      <c r="D20" s="3" t="s">
        <v>172</v>
      </c>
      <c r="E20" s="13" t="s">
        <v>173</v>
      </c>
      <c r="F20" s="21">
        <v>77.66</v>
      </c>
      <c r="G20" s="6">
        <v>3</v>
      </c>
      <c r="H20" s="6" t="s">
        <v>142</v>
      </c>
      <c r="I20" s="6" t="s">
        <v>123</v>
      </c>
      <c r="J20" s="21">
        <v>1.03</v>
      </c>
      <c r="K20" s="16" t="s">
        <v>259</v>
      </c>
      <c r="L20" s="6">
        <v>2.6</v>
      </c>
      <c r="M20" s="6">
        <v>2.9</v>
      </c>
      <c r="N20" s="21">
        <v>0.31</v>
      </c>
      <c r="O20" s="14">
        <v>45867</v>
      </c>
      <c r="P20" s="6">
        <v>39.24859</v>
      </c>
      <c r="Q20" s="6">
        <v>-84.764984999999996</v>
      </c>
      <c r="R20" s="6">
        <v>39.243243999999997</v>
      </c>
      <c r="S20" s="6">
        <v>-84.765685000000005</v>
      </c>
      <c r="T20" s="6">
        <v>375.5</v>
      </c>
      <c r="U20" s="6">
        <v>104.2</v>
      </c>
      <c r="V20" s="21">
        <v>3.6</v>
      </c>
      <c r="W20" s="6">
        <v>28.9</v>
      </c>
      <c r="X20" s="6">
        <v>1.3</v>
      </c>
      <c r="Y20" s="6">
        <v>0.1</v>
      </c>
      <c r="Z20" s="6" t="s">
        <v>150</v>
      </c>
      <c r="AA20" s="6">
        <v>2061</v>
      </c>
      <c r="AB20" s="3">
        <f t="shared" si="0"/>
        <v>214756</v>
      </c>
      <c r="AC20" s="6" t="s">
        <v>102</v>
      </c>
      <c r="AD20" s="6" t="s">
        <v>103</v>
      </c>
      <c r="AE20" s="6" t="s">
        <v>103</v>
      </c>
      <c r="AF20" s="6">
        <v>39.246349000000002</v>
      </c>
      <c r="AG20" s="6">
        <v>-84.766116999999994</v>
      </c>
      <c r="AH20" s="6">
        <v>39.245471999999999</v>
      </c>
      <c r="AI20" s="6">
        <v>-84.765889000000001</v>
      </c>
      <c r="AJ20" s="6">
        <v>23</v>
      </c>
      <c r="AK20" s="16">
        <v>1.4</v>
      </c>
      <c r="AL20" s="16">
        <v>1.3</v>
      </c>
      <c r="AM20" s="6">
        <v>28</v>
      </c>
      <c r="AN20" s="6">
        <v>3.3</v>
      </c>
      <c r="AO20" s="6">
        <v>1.9</v>
      </c>
      <c r="AP20" s="6">
        <v>408</v>
      </c>
      <c r="AQ20" s="6">
        <v>1048</v>
      </c>
      <c r="AR20" s="6">
        <v>39.25</v>
      </c>
      <c r="AS20" s="6">
        <v>47</v>
      </c>
      <c r="AT20" s="6">
        <v>35</v>
      </c>
      <c r="AU20" s="6">
        <v>81</v>
      </c>
      <c r="AV20" s="6">
        <v>19</v>
      </c>
      <c r="AW20" s="6">
        <v>975</v>
      </c>
      <c r="AX20" s="3">
        <f t="shared" si="1"/>
        <v>24</v>
      </c>
      <c r="AY20" s="6" t="s">
        <v>135</v>
      </c>
      <c r="AZ20" s="6" t="s">
        <v>105</v>
      </c>
      <c r="BA20" s="6">
        <v>21</v>
      </c>
      <c r="BB20" s="6">
        <v>48</v>
      </c>
      <c r="BC20" s="6" t="s">
        <v>18</v>
      </c>
      <c r="BD20" s="6" t="s">
        <v>18</v>
      </c>
      <c r="BE20" s="6" t="s">
        <v>18</v>
      </c>
      <c r="BF20" s="6" t="s">
        <v>16</v>
      </c>
      <c r="BG20" s="6" t="s">
        <v>16</v>
      </c>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row>
    <row r="21" spans="1:1159" s="12" customFormat="1" x14ac:dyDescent="0.25">
      <c r="A21" s="3" t="s">
        <v>272</v>
      </c>
      <c r="B21" s="6" t="s">
        <v>176</v>
      </c>
      <c r="C21" s="6" t="s">
        <v>147</v>
      </c>
      <c r="D21" s="3" t="s">
        <v>177</v>
      </c>
      <c r="E21" s="13" t="s">
        <v>173</v>
      </c>
      <c r="F21" s="21">
        <v>0.14000000000000001</v>
      </c>
      <c r="G21" s="6">
        <v>1</v>
      </c>
      <c r="H21" s="6" t="s">
        <v>142</v>
      </c>
      <c r="I21" s="6" t="s">
        <v>115</v>
      </c>
      <c r="J21" s="21">
        <v>1</v>
      </c>
      <c r="K21" s="16">
        <v>89</v>
      </c>
      <c r="L21" s="6">
        <v>5.6</v>
      </c>
      <c r="M21" s="16">
        <v>2</v>
      </c>
      <c r="N21" s="21">
        <v>0.61</v>
      </c>
      <c r="O21" s="14">
        <v>45870</v>
      </c>
      <c r="P21" s="3">
        <v>39.043579999999999</v>
      </c>
      <c r="Q21" s="3">
        <v>-84.317959999999999</v>
      </c>
      <c r="R21" s="3">
        <v>39.043100000000003</v>
      </c>
      <c r="S21" s="3">
        <v>-84.319100000000006</v>
      </c>
      <c r="T21" s="6">
        <v>24.7</v>
      </c>
      <c r="U21" s="15">
        <v>17</v>
      </c>
      <c r="V21" s="21">
        <v>1.5</v>
      </c>
      <c r="W21" s="6">
        <v>11.7</v>
      </c>
      <c r="X21" s="6">
        <v>1.5</v>
      </c>
      <c r="Y21" s="6">
        <v>5.7</v>
      </c>
      <c r="Z21" s="6" t="s">
        <v>178</v>
      </c>
      <c r="AA21" s="6">
        <v>367</v>
      </c>
      <c r="AB21" s="3">
        <f t="shared" si="0"/>
        <v>6239</v>
      </c>
      <c r="AC21" s="6" t="s">
        <v>146</v>
      </c>
      <c r="AD21" s="6" t="s">
        <v>103</v>
      </c>
      <c r="AE21" s="6" t="s">
        <v>103</v>
      </c>
      <c r="AF21" s="6">
        <v>39.043579000000001</v>
      </c>
      <c r="AG21" s="6">
        <v>-84.317952000000005</v>
      </c>
      <c r="AH21" s="6">
        <v>39.043152999999997</v>
      </c>
      <c r="AI21" s="6">
        <v>-84.318943000000004</v>
      </c>
      <c r="AJ21" s="6">
        <v>47</v>
      </c>
      <c r="AK21" s="16">
        <v>1</v>
      </c>
      <c r="AL21" s="16">
        <v>1.8</v>
      </c>
      <c r="AM21" s="6">
        <v>71</v>
      </c>
      <c r="AN21" s="6">
        <v>3.8</v>
      </c>
      <c r="AO21" s="6">
        <v>1.5</v>
      </c>
      <c r="AP21" s="6">
        <v>485</v>
      </c>
      <c r="AQ21" s="6">
        <v>92</v>
      </c>
      <c r="AR21" s="6">
        <v>29.01</v>
      </c>
      <c r="AS21" s="6">
        <v>20</v>
      </c>
      <c r="AT21" s="6">
        <v>39</v>
      </c>
      <c r="AU21" s="6">
        <v>74</v>
      </c>
      <c r="AV21" s="6">
        <v>33</v>
      </c>
      <c r="AW21" s="6">
        <v>48</v>
      </c>
      <c r="AX21" s="3">
        <f t="shared" si="1"/>
        <v>7</v>
      </c>
      <c r="AY21" s="6" t="s">
        <v>135</v>
      </c>
      <c r="AZ21" s="6" t="s">
        <v>105</v>
      </c>
      <c r="BA21" s="6">
        <v>62</v>
      </c>
      <c r="BB21" s="6">
        <v>150</v>
      </c>
      <c r="BC21" s="6" t="s">
        <v>16</v>
      </c>
      <c r="BD21" s="6" t="s">
        <v>16</v>
      </c>
      <c r="BE21" s="6" t="s">
        <v>16</v>
      </c>
      <c r="BF21" s="6" t="s">
        <v>16</v>
      </c>
      <c r="BG21" s="6" t="s">
        <v>16</v>
      </c>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row>
    <row r="22" spans="1:1159" s="12" customFormat="1" x14ac:dyDescent="0.25">
      <c r="A22" s="3" t="s">
        <v>273</v>
      </c>
      <c r="B22" s="6" t="s">
        <v>245</v>
      </c>
      <c r="C22" s="6" t="s">
        <v>147</v>
      </c>
      <c r="D22" s="3" t="s">
        <v>246</v>
      </c>
      <c r="E22" s="13" t="s">
        <v>216</v>
      </c>
      <c r="F22" s="21">
        <v>3.76</v>
      </c>
      <c r="G22" s="6">
        <v>2</v>
      </c>
      <c r="H22" s="6" t="s">
        <v>142</v>
      </c>
      <c r="I22" s="3" t="s">
        <v>100</v>
      </c>
      <c r="J22" s="21">
        <v>1.31</v>
      </c>
      <c r="K22" s="16">
        <v>42.6</v>
      </c>
      <c r="L22" s="6">
        <v>0.9</v>
      </c>
      <c r="M22" s="6">
        <v>1.4</v>
      </c>
      <c r="N22" s="21">
        <v>0.85</v>
      </c>
      <c r="O22" s="14">
        <v>45894</v>
      </c>
      <c r="P22" s="3">
        <v>38.759039000000001</v>
      </c>
      <c r="Q22" s="3">
        <v>-83.394988999999995</v>
      </c>
      <c r="R22" s="3">
        <v>38.75873</v>
      </c>
      <c r="S22" s="3">
        <v>-83.393654999999995</v>
      </c>
      <c r="T22" s="6">
        <v>40.6</v>
      </c>
      <c r="U22" s="6">
        <v>24.1</v>
      </c>
      <c r="V22" s="21">
        <v>1.68</v>
      </c>
      <c r="W22" s="6">
        <v>14.3</v>
      </c>
      <c r="X22" s="6">
        <v>3.2</v>
      </c>
      <c r="Y22" s="6">
        <v>0.3</v>
      </c>
      <c r="Z22" s="6" t="s">
        <v>247</v>
      </c>
      <c r="AA22" s="6">
        <v>521</v>
      </c>
      <c r="AB22" s="3">
        <f t="shared" si="0"/>
        <v>12556</v>
      </c>
      <c r="AC22" s="6" t="s">
        <v>102</v>
      </c>
      <c r="AD22" s="6" t="s">
        <v>103</v>
      </c>
      <c r="AE22" s="6" t="s">
        <v>103</v>
      </c>
      <c r="AF22" s="6">
        <v>38.759022999999999</v>
      </c>
      <c r="AG22" s="6">
        <v>-83.394994999999994</v>
      </c>
      <c r="AH22" s="6">
        <v>38.758640999999997</v>
      </c>
      <c r="AI22" s="6">
        <v>-83.393985999999998</v>
      </c>
      <c r="AJ22" s="6">
        <v>9</v>
      </c>
      <c r="AK22" s="16">
        <v>1.7</v>
      </c>
      <c r="AL22" s="16">
        <v>2.9</v>
      </c>
      <c r="AM22" s="6">
        <v>42</v>
      </c>
      <c r="AN22" s="16">
        <v>4</v>
      </c>
      <c r="AO22" s="6">
        <v>1.8</v>
      </c>
      <c r="AP22" s="6">
        <v>1284</v>
      </c>
      <c r="AQ22" s="6">
        <v>213</v>
      </c>
      <c r="AR22" s="6">
        <v>24.11</v>
      </c>
      <c r="AS22" s="6">
        <v>61</v>
      </c>
      <c r="AT22" s="6">
        <v>34</v>
      </c>
      <c r="AU22" s="6">
        <v>74</v>
      </c>
      <c r="AV22" s="6">
        <v>4</v>
      </c>
      <c r="AW22" s="6">
        <v>115</v>
      </c>
      <c r="AX22" s="3">
        <f t="shared" si="1"/>
        <v>11</v>
      </c>
      <c r="AY22" s="6" t="s">
        <v>104</v>
      </c>
      <c r="AZ22" s="6" t="s">
        <v>118</v>
      </c>
      <c r="BA22" s="3" t="s">
        <v>112</v>
      </c>
      <c r="BB22" s="3" t="s">
        <v>112</v>
      </c>
      <c r="BC22" s="6" t="s">
        <v>16</v>
      </c>
      <c r="BD22" s="6" t="s">
        <v>18</v>
      </c>
      <c r="BE22" s="6" t="s">
        <v>16</v>
      </c>
      <c r="BF22" s="6" t="s">
        <v>18</v>
      </c>
      <c r="BG22" s="6" t="s">
        <v>16</v>
      </c>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row>
    <row r="23" spans="1:1159" s="12" customFormat="1" x14ac:dyDescent="0.25">
      <c r="A23" s="3" t="s">
        <v>274</v>
      </c>
      <c r="B23" s="6" t="s">
        <v>248</v>
      </c>
      <c r="C23" s="6" t="s">
        <v>147</v>
      </c>
      <c r="D23" s="3" t="s">
        <v>177</v>
      </c>
      <c r="E23" s="13" t="s">
        <v>216</v>
      </c>
      <c r="F23" s="21">
        <v>0.34</v>
      </c>
      <c r="G23" s="6">
        <v>1</v>
      </c>
      <c r="H23" s="6" t="s">
        <v>99</v>
      </c>
      <c r="I23" s="6" t="s">
        <v>115</v>
      </c>
      <c r="J23" s="21">
        <v>1.1100000000000001</v>
      </c>
      <c r="K23" s="16">
        <v>27.1</v>
      </c>
      <c r="L23" s="16">
        <v>0</v>
      </c>
      <c r="M23" s="6">
        <v>0.9</v>
      </c>
      <c r="N23" s="21">
        <v>1</v>
      </c>
      <c r="O23" s="14">
        <v>45894</v>
      </c>
      <c r="P23" s="3">
        <v>38.720365000000001</v>
      </c>
      <c r="Q23" s="3">
        <v>-83.432001</v>
      </c>
      <c r="R23" s="3">
        <v>38.719779000000003</v>
      </c>
      <c r="S23" s="3">
        <v>-83.432361</v>
      </c>
      <c r="T23" s="6">
        <v>8.9</v>
      </c>
      <c r="U23" s="6">
        <v>14.4</v>
      </c>
      <c r="V23" s="21">
        <v>0.62</v>
      </c>
      <c r="W23" s="6">
        <v>23.4</v>
      </c>
      <c r="X23" s="6">
        <v>1.3</v>
      </c>
      <c r="Y23" s="6">
        <v>3.3</v>
      </c>
      <c r="Z23" s="6" t="s">
        <v>148</v>
      </c>
      <c r="AA23" s="6">
        <v>262</v>
      </c>
      <c r="AB23" s="3">
        <f t="shared" si="0"/>
        <v>3773</v>
      </c>
      <c r="AC23" s="6" t="s">
        <v>102</v>
      </c>
      <c r="AD23" s="6" t="s">
        <v>103</v>
      </c>
      <c r="AE23" s="6" t="s">
        <v>103</v>
      </c>
      <c r="AF23" s="6">
        <v>38.720360999999997</v>
      </c>
      <c r="AG23" s="6">
        <v>-83.431988000000004</v>
      </c>
      <c r="AH23" s="6">
        <v>38.719776000000003</v>
      </c>
      <c r="AI23" s="6">
        <v>-83.432345999999995</v>
      </c>
      <c r="AJ23" s="6">
        <v>45</v>
      </c>
      <c r="AK23" s="16">
        <v>1.3</v>
      </c>
      <c r="AL23" s="16">
        <v>1.3</v>
      </c>
      <c r="AM23" s="6">
        <v>61</v>
      </c>
      <c r="AN23" s="6">
        <v>1.4</v>
      </c>
      <c r="AO23" s="6">
        <v>2.2999999999999998</v>
      </c>
      <c r="AP23" s="6">
        <v>82</v>
      </c>
      <c r="AQ23" s="6">
        <v>206</v>
      </c>
      <c r="AR23" s="6">
        <v>25.72</v>
      </c>
      <c r="AS23" s="6">
        <v>21</v>
      </c>
      <c r="AT23" s="6">
        <v>57</v>
      </c>
      <c r="AU23" s="6">
        <v>50</v>
      </c>
      <c r="AV23" s="6">
        <v>1</v>
      </c>
      <c r="AW23" s="6">
        <v>45</v>
      </c>
      <c r="AX23" s="3">
        <f t="shared" si="1"/>
        <v>9</v>
      </c>
      <c r="AY23" s="6" t="s">
        <v>249</v>
      </c>
      <c r="AZ23" s="6" t="s">
        <v>105</v>
      </c>
      <c r="BA23" s="6">
        <v>32</v>
      </c>
      <c r="BB23" s="6">
        <v>100</v>
      </c>
      <c r="BC23" s="6" t="s">
        <v>18</v>
      </c>
      <c r="BD23" s="6" t="s">
        <v>16</v>
      </c>
      <c r="BE23" s="6" t="s">
        <v>18</v>
      </c>
      <c r="BF23" s="6" t="s">
        <v>16</v>
      </c>
      <c r="BG23" s="6" t="s">
        <v>16</v>
      </c>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row>
    <row r="24" spans="1:1159" s="12" customFormat="1" x14ac:dyDescent="0.25">
      <c r="A24" s="3" t="s">
        <v>275</v>
      </c>
      <c r="B24" s="6" t="s">
        <v>250</v>
      </c>
      <c r="C24" s="6" t="s">
        <v>147</v>
      </c>
      <c r="D24" s="3" t="s">
        <v>177</v>
      </c>
      <c r="E24" s="13" t="s">
        <v>216</v>
      </c>
      <c r="F24" s="21">
        <v>1.85</v>
      </c>
      <c r="G24" s="6">
        <v>2</v>
      </c>
      <c r="H24" s="6" t="s">
        <v>99</v>
      </c>
      <c r="I24" s="6" t="s">
        <v>123</v>
      </c>
      <c r="J24" s="21">
        <v>1.07</v>
      </c>
      <c r="K24" s="16">
        <v>35.9</v>
      </c>
      <c r="L24" s="6">
        <v>0.8</v>
      </c>
      <c r="M24" s="6">
        <v>1.6</v>
      </c>
      <c r="N24" s="21">
        <v>0.77</v>
      </c>
      <c r="O24" s="14">
        <v>45895</v>
      </c>
      <c r="P24" s="3">
        <v>38.840725999999997</v>
      </c>
      <c r="Q24" s="3">
        <v>-83.367812999999998</v>
      </c>
      <c r="R24" s="3">
        <v>38.839213000000001</v>
      </c>
      <c r="S24" s="3">
        <v>-83.368082000000001</v>
      </c>
      <c r="T24" s="6">
        <v>33.5</v>
      </c>
      <c r="U24" s="6">
        <v>22.6</v>
      </c>
      <c r="V24" s="21">
        <v>1.48</v>
      </c>
      <c r="W24" s="6">
        <v>15.3</v>
      </c>
      <c r="X24" s="6">
        <v>1.8</v>
      </c>
      <c r="Y24" s="6">
        <v>0.8</v>
      </c>
      <c r="Z24" s="6" t="s">
        <v>101</v>
      </c>
      <c r="AA24" s="6">
        <v>607</v>
      </c>
      <c r="AB24" s="3">
        <f t="shared" si="0"/>
        <v>13718</v>
      </c>
      <c r="AC24" s="6" t="s">
        <v>146</v>
      </c>
      <c r="AD24" s="6" t="s">
        <v>103</v>
      </c>
      <c r="AE24" s="6" t="s">
        <v>103</v>
      </c>
      <c r="AF24" s="6">
        <v>38.839993</v>
      </c>
      <c r="AG24" s="6">
        <v>-83.368077</v>
      </c>
      <c r="AH24" s="6">
        <v>38.839213000000001</v>
      </c>
      <c r="AI24" s="6">
        <v>-83.368082000000001</v>
      </c>
      <c r="AJ24" s="6">
        <v>38</v>
      </c>
      <c r="AK24" s="16">
        <v>1.6</v>
      </c>
      <c r="AL24" s="16">
        <v>2.2000000000000002</v>
      </c>
      <c r="AM24" s="6">
        <v>41</v>
      </c>
      <c r="AN24" s="16">
        <v>3</v>
      </c>
      <c r="AO24" s="6">
        <v>2.4</v>
      </c>
      <c r="AP24" s="6">
        <v>212</v>
      </c>
      <c r="AQ24" s="6">
        <v>614</v>
      </c>
      <c r="AR24" s="6">
        <v>31.95</v>
      </c>
      <c r="AS24" s="6">
        <v>54</v>
      </c>
      <c r="AT24" s="6">
        <v>62</v>
      </c>
      <c r="AU24" s="6">
        <v>54</v>
      </c>
      <c r="AV24" s="6">
        <v>14</v>
      </c>
      <c r="AW24" s="6">
        <v>36</v>
      </c>
      <c r="AX24" s="3">
        <f t="shared" si="1"/>
        <v>3</v>
      </c>
      <c r="AY24" s="6" t="s">
        <v>149</v>
      </c>
      <c r="AZ24" s="6" t="s">
        <v>105</v>
      </c>
      <c r="BA24" s="6">
        <v>42</v>
      </c>
      <c r="BB24" s="6">
        <v>74</v>
      </c>
      <c r="BC24" s="6" t="s">
        <v>18</v>
      </c>
      <c r="BD24" s="6" t="s">
        <v>18</v>
      </c>
      <c r="BE24" s="6" t="s">
        <v>16</v>
      </c>
      <c r="BF24" s="6" t="s">
        <v>18</v>
      </c>
      <c r="BG24" s="6" t="s">
        <v>18</v>
      </c>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row>
    <row r="25" spans="1:1159" s="12" customFormat="1" x14ac:dyDescent="0.25">
      <c r="A25" s="3" t="s">
        <v>276</v>
      </c>
      <c r="B25" s="6" t="s">
        <v>251</v>
      </c>
      <c r="C25" s="6" t="s">
        <v>147</v>
      </c>
      <c r="D25" s="3" t="s">
        <v>177</v>
      </c>
      <c r="E25" s="13" t="s">
        <v>184</v>
      </c>
      <c r="F25" s="21">
        <v>2.79</v>
      </c>
      <c r="G25" s="6">
        <v>2</v>
      </c>
      <c r="H25" s="6" t="s">
        <v>99</v>
      </c>
      <c r="I25" s="3" t="s">
        <v>115</v>
      </c>
      <c r="J25" s="21">
        <v>1.05</v>
      </c>
      <c r="K25" s="16">
        <v>87.5</v>
      </c>
      <c r="L25" s="6">
        <v>0.5</v>
      </c>
      <c r="M25" s="6">
        <v>1.4</v>
      </c>
      <c r="N25" s="21">
        <v>0.68</v>
      </c>
      <c r="O25" s="14">
        <v>45896</v>
      </c>
      <c r="P25" s="3">
        <v>38.758625000000002</v>
      </c>
      <c r="Q25" s="3">
        <v>-83.759602000000001</v>
      </c>
      <c r="R25" s="3">
        <v>38.757396</v>
      </c>
      <c r="S25" s="3">
        <v>-83.757980000000003</v>
      </c>
      <c r="T25" s="6">
        <v>35.299999999999997</v>
      </c>
      <c r="U25" s="6">
        <v>30.4</v>
      </c>
      <c r="V25" s="21">
        <v>1.1599999999999999</v>
      </c>
      <c r="W25" s="6">
        <v>26.2</v>
      </c>
      <c r="X25" s="6">
        <v>1.7</v>
      </c>
      <c r="Y25" s="6">
        <v>2.7</v>
      </c>
      <c r="Z25" s="6" t="s">
        <v>252</v>
      </c>
      <c r="AA25" s="6">
        <v>676</v>
      </c>
      <c r="AB25" s="3">
        <f t="shared" si="0"/>
        <v>20550</v>
      </c>
      <c r="AC25" s="6" t="s">
        <v>146</v>
      </c>
      <c r="AD25" s="6" t="s">
        <v>103</v>
      </c>
      <c r="AE25" s="6" t="s">
        <v>103</v>
      </c>
      <c r="AF25" s="3">
        <v>38.758485999999998</v>
      </c>
      <c r="AG25" s="3">
        <v>-83.759409000000005</v>
      </c>
      <c r="AH25" s="3">
        <v>38.757708999999998</v>
      </c>
      <c r="AI25" s="3">
        <v>-83.758680609999999</v>
      </c>
      <c r="AJ25" s="6">
        <v>11</v>
      </c>
      <c r="AK25" s="16">
        <v>1</v>
      </c>
      <c r="AL25" s="16">
        <v>1.8</v>
      </c>
      <c r="AM25" s="6">
        <v>55</v>
      </c>
      <c r="AN25" s="6">
        <v>4.3</v>
      </c>
      <c r="AO25" s="6">
        <v>2.9</v>
      </c>
      <c r="AP25" s="6">
        <v>1583</v>
      </c>
      <c r="AQ25" s="6">
        <v>430</v>
      </c>
      <c r="AR25" s="6">
        <v>34.85</v>
      </c>
      <c r="AS25" s="6">
        <v>48</v>
      </c>
      <c r="AT25" s="6">
        <v>42</v>
      </c>
      <c r="AU25" s="6">
        <v>34</v>
      </c>
      <c r="AV25" s="6">
        <v>54</v>
      </c>
      <c r="AW25" s="6">
        <v>320</v>
      </c>
      <c r="AX25" s="3">
        <f t="shared" si="1"/>
        <v>24</v>
      </c>
      <c r="AY25" s="6" t="s">
        <v>104</v>
      </c>
      <c r="AZ25" s="6" t="s">
        <v>151</v>
      </c>
      <c r="BA25" s="6">
        <v>92</v>
      </c>
      <c r="BB25" s="6">
        <v>220</v>
      </c>
      <c r="BC25" s="6" t="s">
        <v>16</v>
      </c>
      <c r="BD25" s="6" t="s">
        <v>16</v>
      </c>
      <c r="BE25" s="6" t="s">
        <v>16</v>
      </c>
      <c r="BF25" s="6" t="s">
        <v>18</v>
      </c>
      <c r="BG25" s="6" t="s">
        <v>18</v>
      </c>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row>
    <row r="26" spans="1:1159" s="12" customFormat="1" x14ac:dyDescent="0.25">
      <c r="A26" s="6" t="s">
        <v>243</v>
      </c>
      <c r="B26" s="6" t="s">
        <v>253</v>
      </c>
      <c r="C26" s="6" t="s">
        <v>147</v>
      </c>
      <c r="D26" s="3" t="s">
        <v>177</v>
      </c>
      <c r="E26" s="13" t="s">
        <v>216</v>
      </c>
      <c r="F26" s="21">
        <v>4.7</v>
      </c>
      <c r="G26" s="6">
        <v>2</v>
      </c>
      <c r="H26" s="6" t="s">
        <v>142</v>
      </c>
      <c r="I26" s="6" t="s">
        <v>123</v>
      </c>
      <c r="J26" s="21">
        <v>1.24</v>
      </c>
      <c r="K26" s="16">
        <v>19.399999999999999</v>
      </c>
      <c r="L26" s="6">
        <v>0.6</v>
      </c>
      <c r="M26" s="6">
        <v>1.7</v>
      </c>
      <c r="N26" s="21">
        <v>0.73</v>
      </c>
      <c r="O26" s="14">
        <v>45897</v>
      </c>
      <c r="P26" s="3">
        <v>38.838439000000001</v>
      </c>
      <c r="Q26" s="3">
        <v>-83.369082000000006</v>
      </c>
      <c r="R26" s="3">
        <v>38.838580999999998</v>
      </c>
      <c r="S26" s="3">
        <v>-83.370721000000003</v>
      </c>
      <c r="T26" s="6">
        <v>62.5</v>
      </c>
      <c r="U26" s="6">
        <v>25.9</v>
      </c>
      <c r="V26" s="21">
        <v>2.41</v>
      </c>
      <c r="W26" s="6">
        <v>10.7</v>
      </c>
      <c r="X26" s="6">
        <v>5.2</v>
      </c>
      <c r="Y26" s="6">
        <v>0.1</v>
      </c>
      <c r="Z26" s="6" t="s">
        <v>247</v>
      </c>
      <c r="AA26" s="6">
        <v>581</v>
      </c>
      <c r="AB26" s="3">
        <f t="shared" si="0"/>
        <v>15048</v>
      </c>
      <c r="AC26" s="6" t="s">
        <v>146</v>
      </c>
      <c r="AD26" s="6" t="s">
        <v>103</v>
      </c>
      <c r="AE26" s="6" t="s">
        <v>103</v>
      </c>
      <c r="AF26" s="3">
        <v>38.838779000000002</v>
      </c>
      <c r="AG26" s="3">
        <v>-83.369444999999999</v>
      </c>
      <c r="AH26" s="3">
        <v>38.838667000000001</v>
      </c>
      <c r="AI26" s="3">
        <v>-83.370451000000003</v>
      </c>
      <c r="AJ26" s="6">
        <v>21</v>
      </c>
      <c r="AK26" s="16">
        <v>1.3</v>
      </c>
      <c r="AL26" s="16">
        <v>4.9000000000000004</v>
      </c>
      <c r="AM26" s="6">
        <v>42</v>
      </c>
      <c r="AN26" s="6">
        <v>2.8</v>
      </c>
      <c r="AO26" s="6">
        <v>1.7</v>
      </c>
      <c r="AP26" s="6">
        <v>304</v>
      </c>
      <c r="AQ26" s="6">
        <v>330</v>
      </c>
      <c r="AR26" s="6">
        <v>20.92</v>
      </c>
      <c r="AS26" s="6">
        <v>46</v>
      </c>
      <c r="AT26" s="6">
        <v>54</v>
      </c>
      <c r="AU26" s="6">
        <v>58</v>
      </c>
      <c r="AV26" s="6">
        <v>42</v>
      </c>
      <c r="AW26" s="6">
        <v>175</v>
      </c>
      <c r="AX26" s="3">
        <f t="shared" si="1"/>
        <v>15</v>
      </c>
      <c r="AY26" s="6" t="s">
        <v>104</v>
      </c>
      <c r="AZ26" s="6" t="s">
        <v>118</v>
      </c>
      <c r="BA26" s="3" t="s">
        <v>112</v>
      </c>
      <c r="BB26" s="3" t="s">
        <v>112</v>
      </c>
      <c r="BC26" s="6" t="s">
        <v>18</v>
      </c>
      <c r="BD26" s="6" t="s">
        <v>16</v>
      </c>
      <c r="BE26" s="6" t="s">
        <v>16</v>
      </c>
      <c r="BF26" s="6" t="s">
        <v>18</v>
      </c>
      <c r="BG26" s="6" t="s">
        <v>18</v>
      </c>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row>
    <row r="27" spans="1:1159" s="12" customFormat="1" x14ac:dyDescent="0.25">
      <c r="A27" s="6" t="s">
        <v>244</v>
      </c>
      <c r="B27" s="6" t="s">
        <v>254</v>
      </c>
      <c r="C27" s="6" t="s">
        <v>147</v>
      </c>
      <c r="D27" s="3" t="s">
        <v>177</v>
      </c>
      <c r="E27" s="13" t="s">
        <v>184</v>
      </c>
      <c r="F27" s="21">
        <v>4.1100000000000003</v>
      </c>
      <c r="G27" s="6">
        <v>2</v>
      </c>
      <c r="H27" s="6" t="s">
        <v>142</v>
      </c>
      <c r="I27" s="6" t="s">
        <v>100</v>
      </c>
      <c r="J27" s="21">
        <v>1.1100000000000001</v>
      </c>
      <c r="K27" s="16">
        <v>100</v>
      </c>
      <c r="L27" s="6">
        <v>0.7</v>
      </c>
      <c r="M27" s="6">
        <v>1.8</v>
      </c>
      <c r="N27" s="21">
        <v>0.7</v>
      </c>
      <c r="O27" s="14">
        <v>45898</v>
      </c>
      <c r="P27" s="3">
        <v>38.746080999999997</v>
      </c>
      <c r="Q27" s="3">
        <v>-83.726625999999996</v>
      </c>
      <c r="R27" s="3">
        <v>38.747335999999997</v>
      </c>
      <c r="S27" s="3">
        <v>-83.727714000000006</v>
      </c>
      <c r="T27" s="6">
        <v>62.5</v>
      </c>
      <c r="U27" s="6">
        <v>33.5</v>
      </c>
      <c r="V27" s="21">
        <v>1.87</v>
      </c>
      <c r="W27" s="6">
        <v>17.899999999999999</v>
      </c>
      <c r="X27" s="6">
        <v>1.8</v>
      </c>
      <c r="Y27" s="6">
        <v>0.7</v>
      </c>
      <c r="Z27" s="6" t="s">
        <v>185</v>
      </c>
      <c r="AA27" s="6">
        <v>610</v>
      </c>
      <c r="AB27" s="3">
        <f t="shared" si="0"/>
        <v>20435</v>
      </c>
      <c r="AC27" s="6" t="s">
        <v>146</v>
      </c>
      <c r="AD27" s="6" t="s">
        <v>103</v>
      </c>
      <c r="AE27" s="6" t="s">
        <v>103</v>
      </c>
      <c r="AF27" s="3">
        <v>38.746583000000001</v>
      </c>
      <c r="AG27" s="3">
        <v>-83.726698999999996</v>
      </c>
      <c r="AH27" s="3">
        <v>38.747044000000002</v>
      </c>
      <c r="AI27" s="3">
        <v>-83.727502999999999</v>
      </c>
      <c r="AJ27" s="6">
        <v>17</v>
      </c>
      <c r="AK27" s="16">
        <v>1.9</v>
      </c>
      <c r="AL27" s="16">
        <v>4.4000000000000004</v>
      </c>
      <c r="AM27" s="6">
        <v>36</v>
      </c>
      <c r="AN27" s="16">
        <v>3.6</v>
      </c>
      <c r="AO27" s="6">
        <v>1.8</v>
      </c>
      <c r="AP27" s="6">
        <v>517</v>
      </c>
      <c r="AQ27" s="6">
        <v>286</v>
      </c>
      <c r="AR27" s="6">
        <v>12.85</v>
      </c>
      <c r="AS27" s="6">
        <v>66</v>
      </c>
      <c r="AT27" s="6">
        <v>15</v>
      </c>
      <c r="AU27" s="6">
        <v>50</v>
      </c>
      <c r="AV27" s="6">
        <v>6</v>
      </c>
      <c r="AW27" s="6">
        <v>58</v>
      </c>
      <c r="AX27" s="3">
        <f t="shared" si="1"/>
        <v>5</v>
      </c>
      <c r="AY27" s="6" t="s">
        <v>169</v>
      </c>
      <c r="AZ27" s="6" t="s">
        <v>170</v>
      </c>
      <c r="BA27" s="6">
        <v>100</v>
      </c>
      <c r="BB27" s="6">
        <v>250</v>
      </c>
      <c r="BC27" s="6" t="s">
        <v>16</v>
      </c>
      <c r="BD27" s="6" t="s">
        <v>18</v>
      </c>
      <c r="BE27" s="6" t="s">
        <v>16</v>
      </c>
      <c r="BF27" s="6" t="s">
        <v>16</v>
      </c>
      <c r="BG27" s="6" t="s">
        <v>18</v>
      </c>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row>
    <row r="28" spans="1:1159" s="6" customFormat="1" x14ac:dyDescent="0.25">
      <c r="A28" s="6" t="s">
        <v>180</v>
      </c>
      <c r="B28" s="6" t="s">
        <v>183</v>
      </c>
      <c r="C28" s="6" t="s">
        <v>147</v>
      </c>
      <c r="D28" s="3" t="s">
        <v>177</v>
      </c>
      <c r="E28" s="6" t="s">
        <v>184</v>
      </c>
      <c r="F28" s="21">
        <v>124.37</v>
      </c>
      <c r="G28" s="6">
        <v>3</v>
      </c>
      <c r="H28" s="6" t="s">
        <v>142</v>
      </c>
      <c r="I28" s="6" t="s">
        <v>123</v>
      </c>
      <c r="J28" s="21">
        <v>1.1299999999999999</v>
      </c>
      <c r="K28" s="16">
        <v>82.55</v>
      </c>
      <c r="L28" s="6">
        <v>1.3</v>
      </c>
      <c r="M28" s="16">
        <v>2</v>
      </c>
      <c r="N28" s="21">
        <v>0.47</v>
      </c>
      <c r="O28" s="14">
        <v>45908</v>
      </c>
      <c r="P28" s="3">
        <v>38.744638999999999</v>
      </c>
      <c r="Q28" s="3">
        <v>-83.738602</v>
      </c>
      <c r="R28" s="3">
        <v>38.744345000000003</v>
      </c>
      <c r="S28" s="3">
        <v>-83.748106000000007</v>
      </c>
      <c r="T28" s="6">
        <v>524.6</v>
      </c>
      <c r="U28" s="6">
        <v>127.8</v>
      </c>
      <c r="V28" s="21">
        <v>4.0999999999999996</v>
      </c>
      <c r="W28" s="6">
        <v>31.2</v>
      </c>
      <c r="X28" s="6">
        <v>1.5</v>
      </c>
      <c r="Y28" s="6">
        <v>1.9E-2</v>
      </c>
      <c r="Z28" s="6" t="s">
        <v>185</v>
      </c>
      <c r="AA28" s="6">
        <v>3067</v>
      </c>
      <c r="AB28" s="3">
        <f t="shared" si="0"/>
        <v>391963</v>
      </c>
      <c r="AC28" s="6" t="s">
        <v>102</v>
      </c>
      <c r="AD28" s="6" t="s">
        <v>103</v>
      </c>
      <c r="AE28" s="6" t="s">
        <v>103</v>
      </c>
      <c r="AF28" s="6">
        <v>38.743735000000001</v>
      </c>
      <c r="AG28" s="6">
        <v>-83.739487999999994</v>
      </c>
      <c r="AH28" s="6">
        <v>38.743211000000002</v>
      </c>
      <c r="AI28" s="6">
        <v>-83.740719999999996</v>
      </c>
      <c r="AJ28" s="6">
        <v>5</v>
      </c>
      <c r="AK28" s="16">
        <v>1.4</v>
      </c>
      <c r="AL28" s="16">
        <v>1.3</v>
      </c>
      <c r="AM28" s="6">
        <v>34</v>
      </c>
      <c r="AN28" s="6">
        <v>14.1</v>
      </c>
      <c r="AO28" s="6">
        <v>0.7</v>
      </c>
      <c r="AP28" s="6">
        <v>1845</v>
      </c>
      <c r="AQ28" s="6">
        <v>251</v>
      </c>
      <c r="AR28" s="6">
        <v>19.53</v>
      </c>
      <c r="AS28" s="6">
        <v>66</v>
      </c>
      <c r="AT28" s="6">
        <v>50</v>
      </c>
      <c r="AU28" s="6">
        <v>62</v>
      </c>
      <c r="AV28" s="6">
        <v>10</v>
      </c>
      <c r="AW28" s="6">
        <v>684</v>
      </c>
      <c r="AX28" s="3">
        <f t="shared" si="1"/>
        <v>11</v>
      </c>
      <c r="AY28" s="6" t="s">
        <v>149</v>
      </c>
      <c r="AZ28" s="6" t="s">
        <v>151</v>
      </c>
      <c r="BA28" s="6">
        <v>66</v>
      </c>
      <c r="BB28" s="6">
        <v>150</v>
      </c>
      <c r="BC28" s="6" t="s">
        <v>16</v>
      </c>
      <c r="BD28" s="6" t="s">
        <v>18</v>
      </c>
      <c r="BE28" s="6" t="s">
        <v>16</v>
      </c>
      <c r="BF28" s="6" t="s">
        <v>18</v>
      </c>
      <c r="BG28" s="6" t="s">
        <v>16</v>
      </c>
      <c r="BH28" s="12"/>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12"/>
      <c r="DC28" s="12"/>
      <c r="DD28" s="12"/>
      <c r="DE28" s="12"/>
      <c r="DF28" s="12"/>
      <c r="DG28" s="12"/>
      <c r="DH28" s="12"/>
      <c r="DI28" s="12"/>
      <c r="DJ28" s="12"/>
      <c r="DK28" s="12"/>
      <c r="DL28" s="12"/>
      <c r="DM28" s="12"/>
      <c r="DN28" s="12"/>
      <c r="DO28" s="12"/>
      <c r="DP28" s="12"/>
      <c r="DQ28" s="12"/>
      <c r="DR28" s="12"/>
      <c r="DS28" s="12"/>
      <c r="DT28" s="12"/>
      <c r="DU28" s="12"/>
      <c r="DV28" s="12"/>
      <c r="DW28" s="12"/>
      <c r="DX28" s="12"/>
      <c r="DY28" s="12"/>
      <c r="DZ28" s="12"/>
      <c r="EA28" s="12"/>
      <c r="EB28" s="12"/>
      <c r="EC28" s="12"/>
      <c r="ED28" s="12"/>
      <c r="EE28" s="12"/>
      <c r="EF28" s="12"/>
      <c r="EG28" s="12"/>
      <c r="EH28" s="12"/>
      <c r="EI28" s="12"/>
      <c r="EJ28" s="12"/>
      <c r="EK28" s="12"/>
      <c r="EL28" s="12"/>
      <c r="EM28" s="12"/>
      <c r="EN28" s="12"/>
      <c r="EO28" s="12"/>
      <c r="EP28" s="12"/>
      <c r="EQ28" s="12"/>
      <c r="ER28" s="12"/>
      <c r="ES28" s="12"/>
      <c r="ET28" s="12"/>
      <c r="EU28" s="12"/>
      <c r="EV28" s="12"/>
      <c r="EW28" s="12"/>
      <c r="EX28" s="12"/>
      <c r="EY28" s="12"/>
      <c r="EZ28" s="12"/>
      <c r="FA28" s="12"/>
      <c r="FB28" s="12"/>
      <c r="FC28" s="12"/>
      <c r="FD28" s="12"/>
      <c r="FE28" s="12"/>
      <c r="FF28" s="12"/>
      <c r="FG28" s="12"/>
      <c r="FH28" s="12"/>
      <c r="FI28" s="12"/>
      <c r="FJ28" s="12"/>
      <c r="FK28" s="12"/>
      <c r="FL28" s="12"/>
      <c r="FM28" s="12"/>
      <c r="FN28" s="12"/>
      <c r="FO28" s="12"/>
      <c r="FP28" s="12"/>
      <c r="FQ28" s="12"/>
      <c r="FR28" s="12"/>
      <c r="FS28" s="12"/>
      <c r="FT28" s="12"/>
      <c r="FU28" s="12"/>
      <c r="FV28" s="12"/>
      <c r="FW28" s="12"/>
      <c r="FX28" s="12"/>
      <c r="FY28" s="12"/>
      <c r="FZ28" s="12"/>
      <c r="GA28" s="12"/>
      <c r="GB28" s="12"/>
      <c r="GC28" s="12"/>
      <c r="GD28" s="12"/>
      <c r="GE28" s="12"/>
      <c r="GF28" s="12"/>
      <c r="GG28" s="12"/>
      <c r="GH28" s="12"/>
      <c r="GI28" s="12"/>
      <c r="GJ28" s="12"/>
      <c r="GK28" s="12"/>
      <c r="GL28" s="12"/>
      <c r="GM28" s="12"/>
      <c r="GN28" s="12"/>
      <c r="GO28" s="12"/>
      <c r="GP28" s="12"/>
      <c r="GQ28" s="12"/>
      <c r="GR28" s="12"/>
      <c r="GS28" s="12"/>
      <c r="GT28" s="12"/>
      <c r="GU28" s="12"/>
      <c r="GV28" s="12"/>
      <c r="GW28" s="12"/>
      <c r="GX28" s="12"/>
      <c r="GY28" s="12"/>
      <c r="GZ28" s="12"/>
      <c r="HA28" s="12"/>
      <c r="HB28" s="12"/>
      <c r="HC28" s="12"/>
      <c r="HD28" s="12"/>
      <c r="HE28" s="12"/>
      <c r="HF28" s="12"/>
      <c r="HG28" s="12"/>
      <c r="HH28" s="12"/>
      <c r="HI28" s="12"/>
      <c r="HJ28" s="12"/>
      <c r="HK28" s="12"/>
      <c r="HL28" s="12"/>
      <c r="HM28" s="12"/>
      <c r="HN28" s="12"/>
      <c r="HO28" s="12"/>
      <c r="HP28" s="12"/>
      <c r="HQ28" s="12"/>
      <c r="HR28" s="12"/>
      <c r="HS28" s="12"/>
      <c r="HT28" s="12"/>
      <c r="HU28" s="12"/>
      <c r="HV28" s="12"/>
      <c r="HW28" s="12"/>
      <c r="HX28" s="12"/>
      <c r="HY28" s="12"/>
      <c r="HZ28" s="12"/>
      <c r="IA28" s="12"/>
      <c r="IB28" s="12"/>
      <c r="IC28" s="12"/>
      <c r="ID28" s="12"/>
      <c r="IE28" s="12"/>
      <c r="IF28" s="12"/>
      <c r="IG28" s="12"/>
      <c r="IH28" s="12"/>
      <c r="II28" s="12"/>
      <c r="IJ28" s="12"/>
      <c r="IK28" s="12"/>
      <c r="IL28" s="12"/>
      <c r="IM28" s="12"/>
      <c r="IN28" s="12"/>
      <c r="IO28" s="12"/>
      <c r="IP28" s="12"/>
      <c r="IQ28" s="12"/>
      <c r="IR28" s="12"/>
      <c r="IS28" s="12"/>
      <c r="IT28" s="12"/>
      <c r="IU28" s="12"/>
      <c r="IV28" s="12"/>
      <c r="IW28" s="12"/>
      <c r="IX28" s="12"/>
      <c r="IY28" s="12"/>
      <c r="IZ28" s="12"/>
      <c r="JA28" s="12"/>
      <c r="JB28" s="12"/>
      <c r="JC28" s="12"/>
      <c r="JD28" s="12"/>
      <c r="JE28" s="12"/>
      <c r="JF28" s="12"/>
      <c r="JG28" s="12"/>
      <c r="JH28" s="12"/>
      <c r="JI28" s="12"/>
      <c r="JJ28" s="12"/>
      <c r="JK28" s="12"/>
      <c r="JL28" s="12"/>
      <c r="JM28" s="12"/>
      <c r="JN28" s="12"/>
      <c r="JO28" s="12"/>
      <c r="JP28" s="12"/>
      <c r="JQ28" s="12"/>
      <c r="JR28" s="12"/>
      <c r="JS28" s="12"/>
      <c r="JT28" s="12"/>
      <c r="JU28" s="12"/>
      <c r="JV28" s="12"/>
      <c r="JW28" s="12"/>
      <c r="JX28" s="12"/>
      <c r="JY28" s="12"/>
      <c r="JZ28" s="12"/>
      <c r="KA28" s="12"/>
      <c r="KB28" s="12"/>
      <c r="KC28" s="12"/>
      <c r="KD28" s="12"/>
      <c r="KE28" s="12"/>
      <c r="KF28" s="12"/>
      <c r="KG28" s="12"/>
      <c r="KH28" s="12"/>
      <c r="KI28" s="12"/>
      <c r="KJ28" s="12"/>
      <c r="KK28" s="12"/>
      <c r="KL28" s="12"/>
      <c r="KM28" s="12"/>
      <c r="KN28" s="12"/>
      <c r="KO28" s="12"/>
      <c r="KP28" s="12"/>
      <c r="KQ28" s="12"/>
      <c r="KR28" s="12"/>
      <c r="KS28" s="12"/>
      <c r="KT28" s="12"/>
      <c r="KU28" s="12"/>
      <c r="KV28" s="12"/>
      <c r="KW28" s="12"/>
      <c r="KX28" s="12"/>
      <c r="KY28" s="12"/>
      <c r="KZ28" s="12"/>
      <c r="LA28" s="12"/>
      <c r="LB28" s="12"/>
      <c r="LC28" s="12"/>
      <c r="LD28" s="12"/>
      <c r="LE28" s="12"/>
      <c r="LF28" s="12"/>
      <c r="LG28" s="12"/>
      <c r="LH28" s="12"/>
      <c r="LI28" s="12"/>
      <c r="LJ28" s="12"/>
      <c r="LK28" s="12"/>
      <c r="LL28" s="12"/>
      <c r="LM28" s="12"/>
      <c r="LN28" s="12"/>
      <c r="LO28" s="12"/>
      <c r="LP28" s="12"/>
      <c r="LQ28" s="12"/>
      <c r="LR28" s="12"/>
      <c r="LS28" s="12"/>
      <c r="LT28" s="12"/>
      <c r="LU28" s="12"/>
      <c r="LV28" s="12"/>
      <c r="LW28" s="12"/>
      <c r="LX28" s="12"/>
      <c r="LY28" s="12"/>
      <c r="LZ28" s="12"/>
      <c r="MA28" s="12"/>
      <c r="MB28" s="12"/>
      <c r="MC28" s="12"/>
      <c r="MD28" s="12"/>
      <c r="ME28" s="12"/>
      <c r="MF28" s="12"/>
      <c r="MG28" s="12"/>
      <c r="MH28" s="12"/>
      <c r="MI28" s="12"/>
      <c r="MJ28" s="12"/>
      <c r="MK28" s="12"/>
      <c r="ML28" s="12"/>
      <c r="MM28" s="12"/>
      <c r="MN28" s="12"/>
      <c r="MO28" s="12"/>
      <c r="MP28" s="12"/>
      <c r="MQ28" s="12"/>
      <c r="MR28" s="12"/>
      <c r="MS28" s="12"/>
      <c r="MT28" s="12"/>
      <c r="MU28" s="12"/>
      <c r="MV28" s="12"/>
      <c r="MW28" s="12"/>
      <c r="MX28" s="12"/>
      <c r="MY28" s="12"/>
      <c r="MZ28" s="12"/>
      <c r="NA28" s="12"/>
      <c r="NB28" s="12"/>
      <c r="NC28" s="12"/>
      <c r="ND28" s="12"/>
      <c r="NE28" s="12"/>
      <c r="NF28" s="12"/>
      <c r="NG28" s="12"/>
      <c r="NH28" s="12"/>
      <c r="NI28" s="12"/>
      <c r="NJ28" s="12"/>
      <c r="NK28" s="12"/>
      <c r="NL28" s="12"/>
      <c r="NM28" s="12"/>
      <c r="NN28" s="12"/>
      <c r="NO28" s="12"/>
      <c r="NP28" s="12"/>
      <c r="NQ28" s="12"/>
      <c r="NR28" s="12"/>
      <c r="NS28" s="12"/>
      <c r="NT28" s="12"/>
      <c r="NU28" s="12"/>
      <c r="NV28" s="12"/>
      <c r="NW28" s="12"/>
      <c r="NX28" s="12"/>
      <c r="NY28" s="12"/>
      <c r="NZ28" s="12"/>
      <c r="OA28" s="12"/>
      <c r="OB28" s="12"/>
      <c r="OC28" s="12"/>
      <c r="OD28" s="12"/>
      <c r="OE28" s="12"/>
      <c r="OF28" s="12"/>
      <c r="OG28" s="12"/>
      <c r="OH28" s="12"/>
      <c r="OI28" s="12"/>
      <c r="OJ28" s="12"/>
      <c r="OK28" s="12"/>
      <c r="OL28" s="12"/>
      <c r="OM28" s="12"/>
      <c r="ON28" s="12"/>
      <c r="OO28" s="12"/>
      <c r="OP28" s="12"/>
      <c r="OQ28" s="12"/>
      <c r="OR28" s="12"/>
      <c r="OS28" s="12"/>
      <c r="OT28" s="12"/>
      <c r="OU28" s="12"/>
      <c r="OV28" s="12"/>
      <c r="OW28" s="12"/>
      <c r="OX28" s="12"/>
      <c r="OY28" s="12"/>
      <c r="OZ28" s="12"/>
      <c r="PA28" s="12"/>
      <c r="PB28" s="12"/>
      <c r="PC28" s="12"/>
      <c r="PD28" s="12"/>
      <c r="PE28" s="12"/>
      <c r="PF28" s="12"/>
      <c r="PG28" s="12"/>
      <c r="PH28" s="12"/>
      <c r="PI28" s="12"/>
      <c r="PJ28" s="12"/>
      <c r="PK28" s="12"/>
      <c r="PL28" s="12"/>
      <c r="PM28" s="12"/>
      <c r="PN28" s="12"/>
      <c r="PO28" s="12"/>
      <c r="PP28" s="12"/>
      <c r="PQ28" s="12"/>
      <c r="PR28" s="12"/>
      <c r="PS28" s="12"/>
      <c r="PT28" s="12"/>
      <c r="PU28" s="12"/>
      <c r="PV28" s="12"/>
      <c r="PW28" s="12"/>
      <c r="PX28" s="12"/>
      <c r="PY28" s="12"/>
      <c r="PZ28" s="12"/>
      <c r="QA28" s="12"/>
      <c r="QB28" s="12"/>
      <c r="QC28" s="12"/>
      <c r="QD28" s="12"/>
      <c r="QE28" s="12"/>
      <c r="QF28" s="12"/>
      <c r="QG28" s="12"/>
      <c r="QH28" s="12"/>
      <c r="QI28" s="12"/>
      <c r="QJ28" s="12"/>
      <c r="QK28" s="12"/>
      <c r="QL28" s="12"/>
      <c r="QM28" s="12"/>
      <c r="QN28" s="12"/>
      <c r="QO28" s="12"/>
      <c r="QP28" s="12"/>
      <c r="QQ28" s="12"/>
      <c r="QR28" s="12"/>
      <c r="QS28" s="12"/>
      <c r="QT28" s="12"/>
      <c r="QU28" s="12"/>
      <c r="QV28" s="12"/>
      <c r="QW28" s="12"/>
      <c r="QX28" s="12"/>
      <c r="QY28" s="12"/>
      <c r="QZ28" s="12"/>
      <c r="RA28" s="12"/>
      <c r="RB28" s="12"/>
      <c r="RC28" s="12"/>
      <c r="RD28" s="12"/>
      <c r="RE28" s="12"/>
      <c r="RF28" s="12"/>
      <c r="RG28" s="12"/>
      <c r="RH28" s="12"/>
      <c r="RI28" s="12"/>
      <c r="RJ28" s="12"/>
      <c r="RK28" s="12"/>
      <c r="RL28" s="12"/>
      <c r="RM28" s="12"/>
      <c r="RN28" s="12"/>
      <c r="RO28" s="12"/>
      <c r="RP28" s="12"/>
      <c r="RQ28" s="12"/>
      <c r="RR28" s="12"/>
      <c r="RS28" s="12"/>
      <c r="RT28" s="12"/>
      <c r="RU28" s="12"/>
      <c r="RV28" s="12"/>
      <c r="RW28" s="12"/>
      <c r="RX28" s="12"/>
      <c r="RY28" s="12"/>
      <c r="RZ28" s="12"/>
      <c r="SA28" s="12"/>
      <c r="SB28" s="12"/>
      <c r="SC28" s="12"/>
      <c r="SD28" s="12"/>
      <c r="SE28" s="12"/>
      <c r="SF28" s="12"/>
      <c r="SG28" s="12"/>
      <c r="SH28" s="12"/>
      <c r="SI28" s="12"/>
      <c r="SJ28" s="12"/>
      <c r="SK28" s="12"/>
      <c r="SL28" s="12"/>
      <c r="SM28" s="12"/>
      <c r="SN28" s="12"/>
      <c r="SO28" s="12"/>
      <c r="SP28" s="12"/>
      <c r="SQ28" s="12"/>
      <c r="SR28" s="12"/>
      <c r="SS28" s="12"/>
      <c r="ST28" s="12"/>
      <c r="SU28" s="12"/>
      <c r="SV28" s="12"/>
      <c r="SW28" s="12"/>
      <c r="SX28" s="12"/>
      <c r="SY28" s="12"/>
      <c r="SZ28" s="12"/>
      <c r="TA28" s="12"/>
      <c r="TB28" s="12"/>
      <c r="TC28" s="12"/>
      <c r="TD28" s="12"/>
      <c r="TE28" s="12"/>
      <c r="TF28" s="12"/>
      <c r="TG28" s="12"/>
      <c r="TH28" s="12"/>
      <c r="TI28" s="12"/>
      <c r="TJ28" s="12"/>
      <c r="TK28" s="12"/>
      <c r="TL28" s="12"/>
      <c r="TM28" s="12"/>
      <c r="TN28" s="12"/>
      <c r="TO28" s="12"/>
      <c r="TP28" s="12"/>
      <c r="TQ28" s="12"/>
      <c r="TR28" s="12"/>
      <c r="TS28" s="12"/>
      <c r="TT28" s="12"/>
      <c r="TU28" s="12"/>
      <c r="TV28" s="12"/>
      <c r="TW28" s="12"/>
      <c r="TX28" s="12"/>
      <c r="TY28" s="12"/>
      <c r="TZ28" s="12"/>
      <c r="UA28" s="12"/>
      <c r="UB28" s="12"/>
      <c r="UC28" s="12"/>
      <c r="UD28" s="12"/>
      <c r="UE28" s="12"/>
      <c r="UF28" s="12"/>
      <c r="UG28" s="12"/>
      <c r="UH28" s="12"/>
      <c r="UI28" s="12"/>
      <c r="UJ28" s="12"/>
      <c r="UK28" s="12"/>
      <c r="UL28" s="12"/>
      <c r="UM28" s="12"/>
      <c r="UN28" s="12"/>
      <c r="UO28" s="12"/>
      <c r="UP28" s="12"/>
      <c r="UQ28" s="12"/>
      <c r="UR28" s="12"/>
      <c r="US28" s="12"/>
      <c r="UT28" s="12"/>
      <c r="UU28" s="12"/>
      <c r="UV28" s="12"/>
      <c r="UW28" s="12"/>
      <c r="UX28" s="12"/>
      <c r="UY28" s="12"/>
      <c r="UZ28" s="12"/>
      <c r="VA28" s="12"/>
      <c r="VB28" s="12"/>
      <c r="VC28" s="12"/>
      <c r="VD28" s="12"/>
      <c r="VE28" s="12"/>
      <c r="VF28" s="12"/>
      <c r="VG28" s="12"/>
      <c r="VH28" s="12"/>
      <c r="VI28" s="12"/>
      <c r="VJ28" s="12"/>
      <c r="VK28" s="12"/>
      <c r="VL28" s="12"/>
      <c r="VM28" s="12"/>
      <c r="VN28" s="12"/>
      <c r="VO28" s="12"/>
      <c r="VP28" s="12"/>
      <c r="VQ28" s="12"/>
      <c r="VR28" s="12"/>
      <c r="VS28" s="12"/>
      <c r="VT28" s="12"/>
      <c r="VU28" s="12"/>
      <c r="VV28" s="12"/>
      <c r="VW28" s="12"/>
      <c r="VX28" s="12"/>
      <c r="VY28" s="12"/>
      <c r="VZ28" s="12"/>
      <c r="WA28" s="12"/>
      <c r="WB28" s="12"/>
      <c r="WC28" s="12"/>
      <c r="WD28" s="12"/>
      <c r="WE28" s="12"/>
      <c r="WF28" s="12"/>
      <c r="WG28" s="12"/>
      <c r="WH28" s="12"/>
      <c r="WI28" s="12"/>
      <c r="WJ28" s="12"/>
      <c r="WK28" s="12"/>
      <c r="WL28" s="12"/>
      <c r="WM28" s="12"/>
      <c r="WN28" s="12"/>
      <c r="WO28" s="12"/>
      <c r="WP28" s="12"/>
      <c r="WQ28" s="12"/>
      <c r="WR28" s="12"/>
      <c r="WS28" s="12"/>
      <c r="WT28" s="12"/>
      <c r="WU28" s="12"/>
      <c r="WV28" s="12"/>
      <c r="WW28" s="12"/>
      <c r="WX28" s="12"/>
      <c r="WY28" s="12"/>
      <c r="WZ28" s="12"/>
      <c r="XA28" s="12"/>
      <c r="XB28" s="12"/>
      <c r="XC28" s="12"/>
      <c r="XD28" s="12"/>
      <c r="XE28" s="12"/>
      <c r="XF28" s="12"/>
      <c r="XG28" s="12"/>
      <c r="XH28" s="12"/>
      <c r="XI28" s="12"/>
      <c r="XJ28" s="12"/>
      <c r="XK28" s="12"/>
      <c r="XL28" s="12"/>
      <c r="XM28" s="12"/>
      <c r="XN28" s="12"/>
      <c r="XO28" s="12"/>
      <c r="XP28" s="12"/>
      <c r="XQ28" s="12"/>
      <c r="XR28" s="12"/>
      <c r="XS28" s="12"/>
      <c r="XT28" s="12"/>
      <c r="XU28" s="12"/>
      <c r="XV28" s="12"/>
      <c r="XW28" s="12"/>
      <c r="XX28" s="12"/>
      <c r="XY28" s="12"/>
      <c r="XZ28" s="12"/>
      <c r="YA28" s="12"/>
      <c r="YB28" s="12"/>
      <c r="YC28" s="12"/>
      <c r="YD28" s="12"/>
      <c r="YE28" s="12"/>
      <c r="YF28" s="12"/>
      <c r="YG28" s="12"/>
      <c r="YH28" s="12"/>
      <c r="YI28" s="12"/>
      <c r="YJ28" s="12"/>
      <c r="YK28" s="12"/>
      <c r="YL28" s="12"/>
      <c r="YM28" s="12"/>
      <c r="YN28" s="12"/>
      <c r="YO28" s="12"/>
      <c r="YP28" s="12"/>
      <c r="YQ28" s="12"/>
      <c r="YR28" s="12"/>
      <c r="YS28" s="12"/>
      <c r="YT28" s="12"/>
      <c r="YU28" s="12"/>
      <c r="YV28" s="12"/>
      <c r="YW28" s="12"/>
      <c r="YX28" s="12"/>
      <c r="YY28" s="12"/>
      <c r="YZ28" s="12"/>
      <c r="ZA28" s="12"/>
      <c r="ZB28" s="12"/>
      <c r="ZC28" s="12"/>
      <c r="ZD28" s="12"/>
      <c r="ZE28" s="12"/>
      <c r="ZF28" s="12"/>
      <c r="ZG28" s="12"/>
      <c r="ZH28" s="12"/>
      <c r="ZI28" s="12"/>
      <c r="ZJ28" s="12"/>
      <c r="ZK28" s="12"/>
      <c r="ZL28" s="12"/>
      <c r="ZM28" s="12"/>
      <c r="ZN28" s="12"/>
      <c r="ZO28" s="12"/>
      <c r="ZP28" s="12"/>
      <c r="ZQ28" s="12"/>
      <c r="ZR28" s="12"/>
      <c r="ZS28" s="12"/>
      <c r="ZT28" s="12"/>
      <c r="ZU28" s="12"/>
      <c r="ZV28" s="12"/>
      <c r="ZW28" s="12"/>
      <c r="ZX28" s="12"/>
      <c r="ZY28" s="12"/>
      <c r="ZZ28" s="12"/>
      <c r="AAA28" s="12"/>
      <c r="AAB28" s="12"/>
      <c r="AAC28" s="12"/>
      <c r="AAD28" s="12"/>
      <c r="AAE28" s="12"/>
      <c r="AAF28" s="12"/>
      <c r="AAG28" s="12"/>
      <c r="AAH28" s="12"/>
      <c r="AAI28" s="12"/>
      <c r="AAJ28" s="12"/>
      <c r="AAK28" s="12"/>
      <c r="AAL28" s="12"/>
      <c r="AAM28" s="12"/>
      <c r="AAN28" s="12"/>
      <c r="AAO28" s="12"/>
      <c r="AAP28" s="12"/>
      <c r="AAQ28" s="12"/>
      <c r="AAR28" s="12"/>
      <c r="AAS28" s="12"/>
      <c r="AAT28" s="12"/>
      <c r="AAU28" s="12"/>
      <c r="AAV28" s="12"/>
      <c r="AAW28" s="12"/>
      <c r="AAX28" s="12"/>
      <c r="AAY28" s="12"/>
      <c r="AAZ28" s="12"/>
      <c r="ABA28" s="12"/>
      <c r="ABB28" s="12"/>
      <c r="ABC28" s="12"/>
      <c r="ABD28" s="12"/>
      <c r="ABE28" s="12"/>
      <c r="ABF28" s="12"/>
      <c r="ABG28" s="12"/>
      <c r="ABH28" s="12"/>
      <c r="ABI28" s="12"/>
      <c r="ABJ28" s="12"/>
      <c r="ABK28" s="12"/>
      <c r="ABL28" s="12"/>
      <c r="ABM28" s="12"/>
      <c r="ABN28" s="12"/>
      <c r="ABO28" s="12"/>
      <c r="ABP28" s="12"/>
      <c r="ABQ28" s="12"/>
      <c r="ABR28" s="12"/>
      <c r="ABS28" s="12"/>
      <c r="ABT28" s="12"/>
      <c r="ABU28" s="12"/>
      <c r="ABV28" s="12"/>
      <c r="ABW28" s="12"/>
      <c r="ABX28" s="12"/>
      <c r="ABY28" s="12"/>
      <c r="ABZ28" s="12"/>
      <c r="ACA28" s="12"/>
      <c r="ACB28" s="12"/>
      <c r="ACC28" s="12"/>
      <c r="ACD28" s="12"/>
      <c r="ACE28" s="12"/>
      <c r="ACF28" s="12"/>
      <c r="ACG28" s="12"/>
      <c r="ACH28" s="12"/>
      <c r="ACI28" s="12"/>
      <c r="ACJ28" s="12"/>
      <c r="ACK28" s="12"/>
      <c r="ACL28" s="12"/>
      <c r="ACM28" s="12"/>
      <c r="ACN28" s="12"/>
      <c r="ACO28" s="12"/>
      <c r="ACP28" s="12"/>
      <c r="ACQ28" s="12"/>
      <c r="ACR28" s="12"/>
      <c r="ACS28" s="12"/>
      <c r="ACT28" s="12"/>
      <c r="ACU28" s="12"/>
      <c r="ACV28" s="12"/>
      <c r="ACW28" s="12"/>
      <c r="ACX28" s="12"/>
      <c r="ACY28" s="12"/>
      <c r="ACZ28" s="12"/>
      <c r="ADA28" s="12"/>
      <c r="ADB28" s="12"/>
      <c r="ADC28" s="12"/>
      <c r="ADD28" s="12"/>
      <c r="ADE28" s="12"/>
      <c r="ADF28" s="12"/>
      <c r="ADG28" s="12"/>
      <c r="ADH28" s="12"/>
      <c r="ADI28" s="12"/>
      <c r="ADJ28" s="12"/>
      <c r="ADK28" s="12"/>
      <c r="ADL28" s="12"/>
      <c r="ADM28" s="12"/>
      <c r="ADN28" s="12"/>
      <c r="ADO28" s="12"/>
      <c r="ADP28" s="12"/>
      <c r="ADQ28" s="12"/>
      <c r="ADR28" s="12"/>
      <c r="ADS28" s="12"/>
      <c r="ADT28" s="12"/>
      <c r="ADU28" s="12"/>
      <c r="ADV28" s="12"/>
      <c r="ADW28" s="12"/>
      <c r="ADX28" s="12"/>
      <c r="ADY28" s="12"/>
      <c r="ADZ28" s="12"/>
      <c r="AEA28" s="12"/>
      <c r="AEB28" s="12"/>
      <c r="AEC28" s="12"/>
      <c r="AED28" s="12"/>
      <c r="AEE28" s="12"/>
      <c r="AEF28" s="12"/>
      <c r="AEG28" s="12"/>
      <c r="AEH28" s="12"/>
      <c r="AEI28" s="12"/>
      <c r="AEJ28" s="12"/>
      <c r="AEK28" s="12"/>
      <c r="AEL28" s="12"/>
      <c r="AEM28" s="12"/>
      <c r="AEN28" s="12"/>
      <c r="AEO28" s="12"/>
      <c r="AEP28" s="12"/>
      <c r="AEQ28" s="12"/>
      <c r="AER28" s="12"/>
      <c r="AES28" s="12"/>
      <c r="AET28" s="12"/>
      <c r="AEU28" s="12"/>
      <c r="AEV28" s="12"/>
      <c r="AEW28" s="12"/>
      <c r="AEX28" s="12"/>
      <c r="AEY28" s="12"/>
      <c r="AEZ28" s="12"/>
      <c r="AFA28" s="12"/>
      <c r="AFB28" s="12"/>
      <c r="AFC28" s="12"/>
      <c r="AFD28" s="12"/>
      <c r="AFE28" s="12"/>
      <c r="AFF28" s="12"/>
      <c r="AFG28" s="12"/>
      <c r="AFH28" s="12"/>
      <c r="AFI28" s="12"/>
      <c r="AFJ28" s="12"/>
      <c r="AFK28" s="12"/>
      <c r="AFL28" s="12"/>
      <c r="AFM28" s="12"/>
      <c r="AFN28" s="12"/>
      <c r="AFO28" s="12"/>
      <c r="AFP28" s="12"/>
      <c r="AFQ28" s="12"/>
      <c r="AFR28" s="12"/>
      <c r="AFS28" s="12"/>
      <c r="AFT28" s="12"/>
      <c r="AFU28" s="12"/>
      <c r="AFV28" s="12"/>
      <c r="AFW28" s="12"/>
      <c r="AFX28" s="12"/>
      <c r="AFY28" s="12"/>
      <c r="AFZ28" s="12"/>
      <c r="AGA28" s="12"/>
      <c r="AGB28" s="12"/>
      <c r="AGC28" s="12"/>
      <c r="AGD28" s="12"/>
      <c r="AGE28" s="12"/>
      <c r="AGF28" s="12"/>
      <c r="AGG28" s="12"/>
      <c r="AGH28" s="12"/>
      <c r="AGI28" s="12"/>
      <c r="AGJ28" s="12"/>
      <c r="AGK28" s="12"/>
      <c r="AGL28" s="12"/>
      <c r="AGM28" s="12"/>
      <c r="AGN28" s="12"/>
      <c r="AGO28" s="12"/>
      <c r="AGP28" s="12"/>
      <c r="AGQ28" s="12"/>
      <c r="AGR28" s="12"/>
      <c r="AGS28" s="12"/>
      <c r="AGT28" s="12"/>
      <c r="AGU28" s="12"/>
      <c r="AGV28" s="12"/>
      <c r="AGW28" s="12"/>
      <c r="AGX28" s="12"/>
      <c r="AGY28" s="12"/>
      <c r="AGZ28" s="12"/>
      <c r="AHA28" s="12"/>
      <c r="AHB28" s="12"/>
      <c r="AHC28" s="12"/>
      <c r="AHD28" s="12"/>
      <c r="AHE28" s="12"/>
      <c r="AHF28" s="12"/>
      <c r="AHG28" s="12"/>
      <c r="AHH28" s="12"/>
      <c r="AHI28" s="12"/>
      <c r="AHJ28" s="12"/>
      <c r="AHK28" s="12"/>
      <c r="AHL28" s="12"/>
      <c r="AHM28" s="12"/>
      <c r="AHN28" s="12"/>
      <c r="AHO28" s="12"/>
      <c r="AHP28" s="12"/>
      <c r="AHQ28" s="12"/>
      <c r="AHR28" s="12"/>
      <c r="AHS28" s="12"/>
      <c r="AHT28" s="12"/>
      <c r="AHU28" s="12"/>
      <c r="AHV28" s="12"/>
      <c r="AHW28" s="12"/>
      <c r="AHX28" s="12"/>
      <c r="AHY28" s="12"/>
      <c r="AHZ28" s="12"/>
      <c r="AIA28" s="12"/>
      <c r="AIB28" s="12"/>
      <c r="AIC28" s="12"/>
      <c r="AID28" s="12"/>
      <c r="AIE28" s="12"/>
      <c r="AIF28" s="12"/>
      <c r="AIG28" s="12"/>
      <c r="AIH28" s="12"/>
      <c r="AII28" s="12"/>
      <c r="AIJ28" s="12"/>
      <c r="AIK28" s="12"/>
      <c r="AIL28" s="12"/>
      <c r="AIM28" s="12"/>
      <c r="AIN28" s="12"/>
      <c r="AIO28" s="12"/>
      <c r="AIP28" s="12"/>
      <c r="AIQ28" s="12"/>
      <c r="AIR28" s="12"/>
      <c r="AIS28" s="12"/>
      <c r="AIT28" s="12"/>
      <c r="AIU28" s="12"/>
      <c r="AIV28" s="12"/>
      <c r="AIW28" s="12"/>
      <c r="AIX28" s="12"/>
      <c r="AIY28" s="12"/>
      <c r="AIZ28" s="12"/>
      <c r="AJA28" s="12"/>
      <c r="AJB28" s="12"/>
      <c r="AJC28" s="12"/>
      <c r="AJD28" s="12"/>
      <c r="AJE28" s="12"/>
      <c r="AJF28" s="12"/>
      <c r="AJG28" s="12"/>
      <c r="AJH28" s="12"/>
      <c r="AJI28" s="12"/>
      <c r="AJJ28" s="12"/>
      <c r="AJK28" s="12"/>
      <c r="AJL28" s="12"/>
      <c r="AJM28" s="12"/>
      <c r="AJN28" s="12"/>
      <c r="AJO28" s="12"/>
      <c r="AJP28" s="12"/>
      <c r="AJQ28" s="12"/>
      <c r="AJR28" s="12"/>
      <c r="AJS28" s="12"/>
      <c r="AJT28" s="12"/>
      <c r="AJU28" s="12"/>
      <c r="AJV28" s="12"/>
      <c r="AJW28" s="12"/>
      <c r="AJX28" s="12"/>
      <c r="AJY28" s="12"/>
      <c r="AJZ28" s="12"/>
      <c r="AKA28" s="12"/>
      <c r="AKB28" s="12"/>
      <c r="AKC28" s="12"/>
      <c r="AKD28" s="12"/>
      <c r="AKE28" s="12"/>
      <c r="AKF28" s="12"/>
      <c r="AKG28" s="12"/>
      <c r="AKH28" s="12"/>
      <c r="AKI28" s="12"/>
      <c r="AKJ28" s="12"/>
      <c r="AKK28" s="12"/>
      <c r="AKL28" s="12"/>
      <c r="AKM28" s="12"/>
      <c r="AKN28" s="12"/>
      <c r="AKO28" s="12"/>
      <c r="AKP28" s="12"/>
      <c r="AKQ28" s="12"/>
      <c r="AKR28" s="12"/>
      <c r="AKS28" s="12"/>
      <c r="AKT28" s="12"/>
      <c r="AKU28" s="12"/>
      <c r="AKV28" s="12"/>
      <c r="AKW28" s="12"/>
      <c r="AKX28" s="12"/>
      <c r="AKY28" s="12"/>
      <c r="AKZ28" s="12"/>
      <c r="ALA28" s="12"/>
      <c r="ALB28" s="12"/>
      <c r="ALC28" s="12"/>
      <c r="ALD28" s="12"/>
      <c r="ALE28" s="12"/>
      <c r="ALF28" s="12"/>
      <c r="ALG28" s="12"/>
      <c r="ALH28" s="12"/>
      <c r="ALI28" s="12"/>
      <c r="ALJ28" s="12"/>
      <c r="ALK28" s="12"/>
      <c r="ALL28" s="12"/>
      <c r="ALM28" s="12"/>
      <c r="ALN28" s="12"/>
      <c r="ALO28" s="12"/>
      <c r="ALP28" s="12"/>
      <c r="ALQ28" s="12"/>
      <c r="ALR28" s="12"/>
      <c r="ALS28" s="12"/>
      <c r="ALT28" s="12"/>
      <c r="ALU28" s="12"/>
      <c r="ALV28" s="12"/>
      <c r="ALW28" s="12"/>
      <c r="ALX28" s="12"/>
      <c r="ALY28" s="12"/>
      <c r="ALZ28" s="12"/>
      <c r="AMA28" s="12"/>
      <c r="AMB28" s="12"/>
      <c r="AMC28" s="12"/>
      <c r="AMD28" s="12"/>
      <c r="AME28" s="12"/>
      <c r="AMF28" s="12"/>
      <c r="AMG28" s="12"/>
      <c r="AMH28" s="12"/>
      <c r="AMI28" s="12"/>
      <c r="AMJ28" s="12"/>
      <c r="AMK28" s="12"/>
      <c r="AML28" s="12"/>
      <c r="AMM28" s="12"/>
      <c r="AMN28" s="12"/>
      <c r="AMO28" s="12"/>
      <c r="AMP28" s="12"/>
      <c r="AMQ28" s="12"/>
      <c r="AMR28" s="12"/>
      <c r="AMS28" s="12"/>
      <c r="AMT28" s="12"/>
      <c r="AMU28" s="12"/>
      <c r="AMV28" s="12"/>
      <c r="AMW28" s="12"/>
      <c r="AMX28" s="12"/>
      <c r="AMY28" s="12"/>
      <c r="AMZ28" s="12"/>
      <c r="ANA28" s="12"/>
      <c r="ANB28" s="12"/>
      <c r="ANC28" s="12"/>
      <c r="AND28" s="12"/>
      <c r="ANE28" s="12"/>
      <c r="ANF28" s="12"/>
      <c r="ANG28" s="12"/>
      <c r="ANH28" s="12"/>
      <c r="ANI28" s="12"/>
      <c r="ANJ28" s="12"/>
      <c r="ANK28" s="12"/>
      <c r="ANL28" s="12"/>
      <c r="ANM28" s="12"/>
      <c r="ANN28" s="12"/>
      <c r="ANO28" s="12"/>
      <c r="ANP28" s="12"/>
      <c r="ANQ28" s="12"/>
      <c r="ANR28" s="12"/>
      <c r="ANS28" s="12"/>
      <c r="ANT28" s="12"/>
      <c r="ANU28" s="12"/>
      <c r="ANV28" s="12"/>
      <c r="ANW28" s="12"/>
      <c r="ANX28" s="12"/>
      <c r="ANY28" s="12"/>
      <c r="ANZ28" s="12"/>
      <c r="AOA28" s="12"/>
      <c r="AOB28" s="12"/>
      <c r="AOC28" s="12"/>
      <c r="AOD28" s="12"/>
      <c r="AOE28" s="12"/>
      <c r="AOF28" s="12"/>
      <c r="AOG28" s="12"/>
      <c r="AOH28" s="12"/>
      <c r="AOI28" s="12"/>
      <c r="AOJ28" s="12"/>
      <c r="AOK28" s="12"/>
      <c r="AOL28" s="12"/>
      <c r="AOM28" s="12"/>
      <c r="AON28" s="12"/>
      <c r="AOO28" s="12"/>
      <c r="AOP28" s="12"/>
      <c r="AOQ28" s="12"/>
      <c r="AOR28" s="12"/>
      <c r="AOS28" s="12"/>
      <c r="AOT28" s="12"/>
      <c r="AOU28" s="12"/>
      <c r="AOV28" s="12"/>
      <c r="AOW28" s="12"/>
      <c r="AOX28" s="12"/>
      <c r="AOY28" s="12"/>
      <c r="AOZ28" s="12"/>
      <c r="APA28" s="12"/>
      <c r="APB28" s="12"/>
      <c r="APC28" s="12"/>
      <c r="APD28" s="12"/>
      <c r="APE28" s="12"/>
      <c r="APF28" s="12"/>
      <c r="APG28" s="12"/>
      <c r="APH28" s="12"/>
      <c r="API28" s="12"/>
      <c r="APJ28" s="12"/>
      <c r="APK28" s="12"/>
      <c r="APL28" s="12"/>
      <c r="APM28" s="12"/>
      <c r="APN28" s="12"/>
      <c r="APO28" s="12"/>
      <c r="APP28" s="12"/>
      <c r="APQ28" s="12"/>
      <c r="APR28" s="12"/>
      <c r="APS28" s="12"/>
      <c r="APT28" s="12"/>
      <c r="APU28" s="12"/>
      <c r="APV28" s="12"/>
      <c r="APW28" s="12"/>
      <c r="APX28" s="12"/>
      <c r="APY28" s="12"/>
      <c r="APZ28" s="12"/>
      <c r="AQA28" s="12"/>
      <c r="AQB28" s="12"/>
      <c r="AQC28" s="12"/>
      <c r="AQD28" s="12"/>
      <c r="AQE28" s="12"/>
      <c r="AQF28" s="12"/>
      <c r="AQG28" s="12"/>
      <c r="AQH28" s="12"/>
      <c r="AQI28" s="12"/>
      <c r="AQJ28" s="12"/>
      <c r="AQK28" s="12"/>
      <c r="AQL28" s="12"/>
      <c r="AQM28" s="12"/>
      <c r="AQN28" s="12"/>
      <c r="AQO28" s="12"/>
      <c r="AQP28" s="12"/>
      <c r="AQQ28" s="12"/>
      <c r="AQR28" s="12"/>
      <c r="AQS28" s="12"/>
      <c r="AQT28" s="12"/>
      <c r="AQU28" s="12"/>
      <c r="AQV28" s="12"/>
      <c r="AQW28" s="12"/>
      <c r="AQX28" s="12"/>
      <c r="AQY28" s="12"/>
      <c r="AQZ28" s="12"/>
      <c r="ARA28" s="12"/>
      <c r="ARB28" s="12"/>
      <c r="ARC28" s="12"/>
      <c r="ARD28" s="12"/>
      <c r="ARE28" s="12"/>
      <c r="ARF28" s="12"/>
      <c r="ARG28" s="12"/>
      <c r="ARH28" s="12"/>
      <c r="ARI28" s="12"/>
      <c r="ARJ28" s="12"/>
      <c r="ARK28" s="12"/>
      <c r="ARL28" s="12"/>
      <c r="ARM28" s="12"/>
      <c r="ARN28" s="12"/>
      <c r="ARO28" s="29"/>
    </row>
    <row r="29" spans="1:1159" s="3" customFormat="1" x14ac:dyDescent="0.25">
      <c r="A29" s="3" t="s">
        <v>181</v>
      </c>
      <c r="B29" s="3" t="s">
        <v>186</v>
      </c>
      <c r="C29" s="6" t="s">
        <v>147</v>
      </c>
      <c r="D29" s="3" t="s">
        <v>177</v>
      </c>
      <c r="E29" s="3" t="s">
        <v>184</v>
      </c>
      <c r="F29" s="24">
        <v>0.39</v>
      </c>
      <c r="G29" s="3">
        <v>1</v>
      </c>
      <c r="H29" s="6" t="s">
        <v>142</v>
      </c>
      <c r="I29" s="3" t="s">
        <v>115</v>
      </c>
      <c r="J29" s="24">
        <v>1.05</v>
      </c>
      <c r="K29" s="15">
        <v>100</v>
      </c>
      <c r="L29" s="16">
        <v>0</v>
      </c>
      <c r="M29" s="3">
        <v>1.5</v>
      </c>
      <c r="N29" s="24">
        <v>0.85</v>
      </c>
      <c r="O29" s="4">
        <v>45909</v>
      </c>
      <c r="P29" s="3">
        <v>38.743921</v>
      </c>
      <c r="Q29" s="3">
        <v>-83.728335999999999</v>
      </c>
      <c r="R29" s="3">
        <v>38.745164340000002</v>
      </c>
      <c r="S29" s="3">
        <v>-83.727281000000005</v>
      </c>
      <c r="T29" s="3">
        <v>27.3</v>
      </c>
      <c r="U29" s="3">
        <v>28.1</v>
      </c>
      <c r="V29" s="24">
        <v>0.97</v>
      </c>
      <c r="W29" s="3">
        <v>28.9</v>
      </c>
      <c r="X29" s="3">
        <v>1.2</v>
      </c>
      <c r="Y29" s="3">
        <v>4.4000000000000004</v>
      </c>
      <c r="Z29" s="3" t="s">
        <v>148</v>
      </c>
      <c r="AA29" s="3">
        <v>568</v>
      </c>
      <c r="AB29" s="3">
        <f t="shared" si="0"/>
        <v>15961</v>
      </c>
      <c r="AC29" s="3" t="s">
        <v>146</v>
      </c>
      <c r="AD29" s="3" t="s">
        <v>103</v>
      </c>
      <c r="AE29" s="3" t="s">
        <v>103</v>
      </c>
      <c r="AF29" s="6">
        <v>38.743921999999998</v>
      </c>
      <c r="AG29" s="6">
        <v>-83.728341999999998</v>
      </c>
      <c r="AH29" s="6">
        <v>38.744579000000002</v>
      </c>
      <c r="AI29" s="6">
        <v>-83.727592000000001</v>
      </c>
      <c r="AJ29" s="3">
        <v>8</v>
      </c>
      <c r="AK29" s="15">
        <v>1</v>
      </c>
      <c r="AL29" s="15">
        <v>1.8</v>
      </c>
      <c r="AM29" s="3">
        <v>65</v>
      </c>
      <c r="AN29" s="3">
        <v>3.1</v>
      </c>
      <c r="AO29" s="15">
        <v>3</v>
      </c>
      <c r="AP29" s="3">
        <v>258</v>
      </c>
      <c r="AQ29" s="3">
        <v>249</v>
      </c>
      <c r="AR29" s="3">
        <v>17.79</v>
      </c>
      <c r="AS29" s="3">
        <v>15</v>
      </c>
      <c r="AT29" s="3">
        <v>21</v>
      </c>
      <c r="AU29" s="3">
        <v>50</v>
      </c>
      <c r="AV29" s="3">
        <v>21</v>
      </c>
      <c r="AW29" s="3">
        <v>12</v>
      </c>
      <c r="AX29" s="3">
        <f t="shared" si="1"/>
        <v>1</v>
      </c>
      <c r="AY29" s="3" t="s">
        <v>135</v>
      </c>
      <c r="AZ29" s="3" t="s">
        <v>105</v>
      </c>
      <c r="BA29" s="3">
        <v>62</v>
      </c>
      <c r="BB29" s="3">
        <v>140</v>
      </c>
      <c r="BC29" s="3" t="s">
        <v>16</v>
      </c>
      <c r="BD29" s="3" t="s">
        <v>187</v>
      </c>
      <c r="BE29" s="3" t="s">
        <v>16</v>
      </c>
      <c r="BF29" s="3" t="s">
        <v>18</v>
      </c>
      <c r="BG29" s="3" t="s">
        <v>16</v>
      </c>
      <c r="BH29" s="12"/>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c r="IF29" s="5"/>
      <c r="IG29" s="5"/>
      <c r="IH29" s="5"/>
      <c r="II29" s="5"/>
      <c r="IJ29" s="5"/>
      <c r="IK29" s="5"/>
      <c r="IL29" s="5"/>
      <c r="IM29" s="5"/>
      <c r="IN29" s="5"/>
      <c r="IO29" s="5"/>
      <c r="IP29" s="5"/>
      <c r="IQ29" s="5"/>
      <c r="IR29" s="5"/>
      <c r="IS29" s="5"/>
      <c r="IT29" s="5"/>
      <c r="IU29" s="5"/>
      <c r="IV29" s="5"/>
      <c r="IW29" s="5"/>
      <c r="IX29" s="5"/>
      <c r="IY29" s="5"/>
      <c r="IZ29" s="5"/>
      <c r="JA29" s="5"/>
      <c r="JB29" s="5"/>
      <c r="JC29" s="5"/>
      <c r="JD29" s="5"/>
      <c r="JE29" s="5"/>
      <c r="JF29" s="5"/>
      <c r="JG29" s="5"/>
      <c r="JH29" s="5"/>
      <c r="JI29" s="5"/>
      <c r="JJ29" s="5"/>
      <c r="JK29" s="5"/>
      <c r="JL29" s="5"/>
      <c r="JM29" s="5"/>
      <c r="JN29" s="5"/>
      <c r="JO29" s="5"/>
      <c r="JP29" s="5"/>
      <c r="JQ29" s="5"/>
      <c r="JR29" s="5"/>
      <c r="JS29" s="5"/>
      <c r="JT29" s="5"/>
      <c r="JU29" s="5"/>
      <c r="JV29" s="5"/>
      <c r="JW29" s="5"/>
      <c r="JX29" s="5"/>
      <c r="JY29" s="5"/>
      <c r="JZ29" s="5"/>
      <c r="KA29" s="5"/>
      <c r="KB29" s="5"/>
      <c r="KC29" s="5"/>
      <c r="KD29" s="5"/>
      <c r="KE29" s="5"/>
      <c r="KF29" s="5"/>
      <c r="KG29" s="5"/>
      <c r="KH29" s="5"/>
      <c r="KI29" s="5"/>
      <c r="KJ29" s="5"/>
      <c r="KK29" s="5"/>
      <c r="KL29" s="5"/>
      <c r="KM29" s="5"/>
      <c r="KN29" s="5"/>
      <c r="KO29" s="5"/>
      <c r="KP29" s="5"/>
      <c r="KQ29" s="5"/>
      <c r="KR29" s="5"/>
      <c r="KS29" s="5"/>
      <c r="KT29" s="5"/>
      <c r="KU29" s="5"/>
      <c r="KV29" s="5"/>
      <c r="KW29" s="5"/>
      <c r="KX29" s="5"/>
      <c r="KY29" s="5"/>
      <c r="KZ29" s="5"/>
      <c r="LA29" s="5"/>
      <c r="LB29" s="5"/>
      <c r="LC29" s="5"/>
      <c r="LD29" s="5"/>
      <c r="LE29" s="5"/>
      <c r="LF29" s="5"/>
      <c r="LG29" s="5"/>
      <c r="LH29" s="5"/>
      <c r="LI29" s="5"/>
      <c r="LJ29" s="5"/>
      <c r="LK29" s="5"/>
      <c r="LL29" s="5"/>
      <c r="LM29" s="5"/>
      <c r="LN29" s="5"/>
      <c r="LO29" s="5"/>
      <c r="LP29" s="5"/>
      <c r="LQ29" s="5"/>
      <c r="LR29" s="5"/>
      <c r="LS29" s="5"/>
      <c r="LT29" s="5"/>
      <c r="LU29" s="5"/>
      <c r="LV29" s="5"/>
      <c r="LW29" s="5"/>
      <c r="LX29" s="5"/>
      <c r="LY29" s="5"/>
      <c r="LZ29" s="5"/>
      <c r="MA29" s="5"/>
      <c r="MB29" s="5"/>
      <c r="MC29" s="5"/>
      <c r="MD29" s="5"/>
      <c r="ME29" s="5"/>
      <c r="MF29" s="5"/>
      <c r="MG29" s="5"/>
      <c r="MH29" s="5"/>
      <c r="MI29" s="5"/>
      <c r="MJ29" s="5"/>
      <c r="MK29" s="5"/>
      <c r="ML29" s="5"/>
      <c r="MM29" s="5"/>
      <c r="MN29" s="5"/>
      <c r="MO29" s="5"/>
      <c r="MP29" s="5"/>
      <c r="MQ29" s="5"/>
      <c r="MR29" s="5"/>
      <c r="MS29" s="5"/>
      <c r="MT29" s="5"/>
      <c r="MU29" s="5"/>
      <c r="MV29" s="5"/>
      <c r="MW29" s="5"/>
      <c r="MX29" s="5"/>
      <c r="MY29" s="5"/>
      <c r="MZ29" s="5"/>
      <c r="NA29" s="5"/>
      <c r="NB29" s="5"/>
      <c r="NC29" s="5"/>
      <c r="ND29" s="5"/>
      <c r="NE29" s="5"/>
      <c r="NF29" s="5"/>
      <c r="NG29" s="5"/>
      <c r="NH29" s="5"/>
      <c r="NI29" s="5"/>
      <c r="NJ29" s="5"/>
      <c r="NK29" s="5"/>
      <c r="NL29" s="5"/>
      <c r="NM29" s="5"/>
      <c r="NN29" s="5"/>
      <c r="NO29" s="5"/>
      <c r="NP29" s="5"/>
      <c r="NQ29" s="5"/>
      <c r="NR29" s="5"/>
      <c r="NS29" s="5"/>
      <c r="NT29" s="5"/>
      <c r="NU29" s="5"/>
      <c r="NV29" s="5"/>
      <c r="NW29" s="5"/>
      <c r="NX29" s="5"/>
      <c r="NY29" s="5"/>
      <c r="NZ29" s="5"/>
      <c r="OA29" s="5"/>
      <c r="OB29" s="5"/>
      <c r="OC29" s="5"/>
      <c r="OD29" s="5"/>
      <c r="OE29" s="5"/>
      <c r="OF29" s="5"/>
      <c r="OG29" s="5"/>
      <c r="OH29" s="5"/>
      <c r="OI29" s="5"/>
      <c r="OJ29" s="5"/>
      <c r="OK29" s="5"/>
      <c r="OL29" s="5"/>
      <c r="OM29" s="5"/>
      <c r="ON29" s="5"/>
      <c r="OO29" s="5"/>
      <c r="OP29" s="5"/>
      <c r="OQ29" s="5"/>
      <c r="OR29" s="5"/>
      <c r="OS29" s="5"/>
      <c r="OT29" s="5"/>
      <c r="OU29" s="5"/>
      <c r="OV29" s="5"/>
      <c r="OW29" s="5"/>
      <c r="OX29" s="5"/>
      <c r="OY29" s="5"/>
      <c r="OZ29" s="5"/>
      <c r="PA29" s="5"/>
      <c r="PB29" s="5"/>
      <c r="PC29" s="5"/>
      <c r="PD29" s="5"/>
      <c r="PE29" s="5"/>
      <c r="PF29" s="5"/>
      <c r="PG29" s="5"/>
      <c r="PH29" s="5"/>
      <c r="PI29" s="5"/>
      <c r="PJ29" s="5"/>
      <c r="PK29" s="5"/>
      <c r="PL29" s="5"/>
      <c r="PM29" s="5"/>
      <c r="PN29" s="5"/>
      <c r="PO29" s="5"/>
      <c r="PP29" s="5"/>
      <c r="PQ29" s="5"/>
      <c r="PR29" s="5"/>
      <c r="PS29" s="5"/>
      <c r="PT29" s="5"/>
      <c r="PU29" s="5"/>
      <c r="PV29" s="5"/>
      <c r="PW29" s="5"/>
      <c r="PX29" s="5"/>
      <c r="PY29" s="5"/>
      <c r="PZ29" s="5"/>
      <c r="QA29" s="5"/>
      <c r="QB29" s="5"/>
      <c r="QC29" s="5"/>
      <c r="QD29" s="5"/>
      <c r="QE29" s="5"/>
      <c r="QF29" s="5"/>
      <c r="QG29" s="5"/>
      <c r="QH29" s="5"/>
      <c r="QI29" s="5"/>
      <c r="QJ29" s="5"/>
      <c r="QK29" s="5"/>
      <c r="QL29" s="5"/>
      <c r="QM29" s="5"/>
      <c r="QN29" s="5"/>
      <c r="QO29" s="5"/>
      <c r="QP29" s="5"/>
      <c r="QQ29" s="5"/>
      <c r="QR29" s="5"/>
      <c r="QS29" s="5"/>
      <c r="QT29" s="5"/>
      <c r="QU29" s="5"/>
      <c r="QV29" s="5"/>
      <c r="QW29" s="5"/>
      <c r="QX29" s="5"/>
      <c r="QY29" s="5"/>
      <c r="QZ29" s="5"/>
      <c r="RA29" s="5"/>
      <c r="RB29" s="5"/>
      <c r="RC29" s="5"/>
      <c r="RD29" s="5"/>
      <c r="RE29" s="5"/>
      <c r="RF29" s="5"/>
      <c r="RG29" s="5"/>
      <c r="RH29" s="5"/>
      <c r="RI29" s="5"/>
      <c r="RJ29" s="5"/>
      <c r="RK29" s="5"/>
      <c r="RL29" s="5"/>
      <c r="RM29" s="5"/>
      <c r="RN29" s="5"/>
      <c r="RO29" s="5"/>
      <c r="RP29" s="5"/>
      <c r="RQ29" s="5"/>
      <c r="RR29" s="5"/>
      <c r="RS29" s="5"/>
      <c r="RT29" s="5"/>
      <c r="RU29" s="5"/>
      <c r="RV29" s="5"/>
      <c r="RW29" s="5"/>
      <c r="RX29" s="5"/>
      <c r="RY29" s="5"/>
      <c r="RZ29" s="5"/>
      <c r="SA29" s="5"/>
      <c r="SB29" s="5"/>
      <c r="SC29" s="5"/>
      <c r="SD29" s="5"/>
      <c r="SE29" s="5"/>
      <c r="SF29" s="5"/>
      <c r="SG29" s="5"/>
      <c r="SH29" s="5"/>
      <c r="SI29" s="5"/>
      <c r="SJ29" s="5"/>
      <c r="SK29" s="5"/>
      <c r="SL29" s="5"/>
      <c r="SM29" s="5"/>
      <c r="SN29" s="5"/>
      <c r="SO29" s="5"/>
      <c r="SP29" s="5"/>
      <c r="SQ29" s="5"/>
      <c r="SR29" s="5"/>
      <c r="SS29" s="5"/>
      <c r="ST29" s="5"/>
      <c r="SU29" s="5"/>
      <c r="SV29" s="5"/>
      <c r="SW29" s="5"/>
      <c r="SX29" s="5"/>
      <c r="SY29" s="5"/>
      <c r="SZ29" s="5"/>
      <c r="TA29" s="5"/>
      <c r="TB29" s="5"/>
      <c r="TC29" s="5"/>
      <c r="TD29" s="5"/>
      <c r="TE29" s="5"/>
      <c r="TF29" s="5"/>
      <c r="TG29" s="5"/>
      <c r="TH29" s="5"/>
      <c r="TI29" s="5"/>
      <c r="TJ29" s="5"/>
      <c r="TK29" s="5"/>
      <c r="TL29" s="5"/>
      <c r="TM29" s="5"/>
      <c r="TN29" s="5"/>
      <c r="TO29" s="5"/>
      <c r="TP29" s="5"/>
      <c r="TQ29" s="5"/>
      <c r="TR29" s="5"/>
      <c r="TS29" s="5"/>
      <c r="TT29" s="5"/>
      <c r="TU29" s="5"/>
      <c r="TV29" s="5"/>
      <c r="TW29" s="5"/>
      <c r="TX29" s="5"/>
      <c r="TY29" s="5"/>
      <c r="TZ29" s="5"/>
      <c r="UA29" s="5"/>
      <c r="UB29" s="5"/>
      <c r="UC29" s="5"/>
      <c r="UD29" s="5"/>
      <c r="UE29" s="5"/>
      <c r="UF29" s="5"/>
      <c r="UG29" s="5"/>
      <c r="UH29" s="5"/>
      <c r="UI29" s="5"/>
      <c r="UJ29" s="5"/>
      <c r="UK29" s="5"/>
      <c r="UL29" s="5"/>
      <c r="UM29" s="5"/>
      <c r="UN29" s="5"/>
      <c r="UO29" s="5"/>
      <c r="UP29" s="5"/>
      <c r="UQ29" s="5"/>
      <c r="UR29" s="5"/>
      <c r="US29" s="5"/>
      <c r="UT29" s="5"/>
      <c r="UU29" s="5"/>
      <c r="UV29" s="5"/>
      <c r="UW29" s="5"/>
      <c r="UX29" s="5"/>
      <c r="UY29" s="5"/>
      <c r="UZ29" s="5"/>
      <c r="VA29" s="5"/>
      <c r="VB29" s="5"/>
      <c r="VC29" s="5"/>
      <c r="VD29" s="5"/>
      <c r="VE29" s="5"/>
      <c r="VF29" s="5"/>
      <c r="VG29" s="5"/>
      <c r="VH29" s="5"/>
      <c r="VI29" s="5"/>
      <c r="VJ29" s="5"/>
      <c r="VK29" s="5"/>
      <c r="VL29" s="5"/>
      <c r="VM29" s="5"/>
      <c r="VN29" s="5"/>
      <c r="VO29" s="5"/>
      <c r="VP29" s="5"/>
      <c r="VQ29" s="5"/>
      <c r="VR29" s="5"/>
      <c r="VS29" s="5"/>
      <c r="VT29" s="5"/>
      <c r="VU29" s="5"/>
      <c r="VV29" s="5"/>
      <c r="VW29" s="5"/>
      <c r="VX29" s="5"/>
      <c r="VY29" s="5"/>
      <c r="VZ29" s="5"/>
      <c r="WA29" s="5"/>
      <c r="WB29" s="5"/>
      <c r="WC29" s="5"/>
      <c r="WD29" s="5"/>
      <c r="WE29" s="5"/>
      <c r="WF29" s="5"/>
      <c r="WG29" s="5"/>
      <c r="WH29" s="5"/>
      <c r="WI29" s="5"/>
      <c r="WJ29" s="5"/>
      <c r="WK29" s="5"/>
      <c r="WL29" s="5"/>
      <c r="WM29" s="5"/>
      <c r="WN29" s="5"/>
      <c r="WO29" s="5"/>
      <c r="WP29" s="5"/>
      <c r="WQ29" s="5"/>
      <c r="WR29" s="5"/>
      <c r="WS29" s="5"/>
      <c r="WT29" s="5"/>
      <c r="WU29" s="5"/>
      <c r="WV29" s="5"/>
      <c r="WW29" s="5"/>
      <c r="WX29" s="5"/>
      <c r="WY29" s="5"/>
      <c r="WZ29" s="5"/>
      <c r="XA29" s="5"/>
      <c r="XB29" s="5"/>
      <c r="XC29" s="5"/>
      <c r="XD29" s="5"/>
      <c r="XE29" s="5"/>
      <c r="XF29" s="5"/>
      <c r="XG29" s="5"/>
      <c r="XH29" s="5"/>
      <c r="XI29" s="5"/>
      <c r="XJ29" s="5"/>
      <c r="XK29" s="5"/>
      <c r="XL29" s="5"/>
      <c r="XM29" s="5"/>
      <c r="XN29" s="5"/>
      <c r="XO29" s="5"/>
      <c r="XP29" s="5"/>
      <c r="XQ29" s="5"/>
      <c r="XR29" s="5"/>
      <c r="XS29" s="5"/>
      <c r="XT29" s="5"/>
      <c r="XU29" s="5"/>
      <c r="XV29" s="5"/>
      <c r="XW29" s="5"/>
      <c r="XX29" s="5"/>
      <c r="XY29" s="5"/>
      <c r="XZ29" s="5"/>
      <c r="YA29" s="5"/>
      <c r="YB29" s="5"/>
      <c r="YC29" s="5"/>
      <c r="YD29" s="5"/>
      <c r="YE29" s="5"/>
      <c r="YF29" s="5"/>
      <c r="YG29" s="5"/>
      <c r="YH29" s="5"/>
      <c r="YI29" s="5"/>
      <c r="YJ29" s="5"/>
      <c r="YK29" s="5"/>
      <c r="YL29" s="5"/>
      <c r="YM29" s="5"/>
      <c r="YN29" s="5"/>
      <c r="YO29" s="5"/>
      <c r="YP29" s="5"/>
      <c r="YQ29" s="5"/>
      <c r="YR29" s="5"/>
      <c r="YS29" s="5"/>
      <c r="YT29" s="5"/>
      <c r="YU29" s="5"/>
      <c r="YV29" s="5"/>
      <c r="YW29" s="5"/>
      <c r="YX29" s="5"/>
      <c r="YY29" s="5"/>
      <c r="YZ29" s="5"/>
      <c r="ZA29" s="5"/>
      <c r="ZB29" s="5"/>
      <c r="ZC29" s="5"/>
      <c r="ZD29" s="5"/>
      <c r="ZE29" s="5"/>
      <c r="ZF29" s="5"/>
      <c r="ZG29" s="5"/>
      <c r="ZH29" s="5"/>
      <c r="ZI29" s="5"/>
      <c r="ZJ29" s="5"/>
      <c r="ZK29" s="5"/>
      <c r="ZL29" s="5"/>
      <c r="ZM29" s="5"/>
      <c r="ZN29" s="5"/>
      <c r="ZO29" s="5"/>
      <c r="ZP29" s="5"/>
      <c r="ZQ29" s="5"/>
      <c r="ZR29" s="5"/>
      <c r="ZS29" s="5"/>
      <c r="ZT29" s="5"/>
      <c r="ZU29" s="5"/>
      <c r="ZV29" s="5"/>
      <c r="ZW29" s="5"/>
      <c r="ZX29" s="5"/>
      <c r="ZY29" s="5"/>
      <c r="ZZ29" s="5"/>
      <c r="AAA29" s="5"/>
      <c r="AAB29" s="5"/>
      <c r="AAC29" s="5"/>
      <c r="AAD29" s="5"/>
      <c r="AAE29" s="5"/>
      <c r="AAF29" s="5"/>
      <c r="AAG29" s="5"/>
      <c r="AAH29" s="5"/>
      <c r="AAI29" s="5"/>
      <c r="AAJ29" s="5"/>
      <c r="AAK29" s="5"/>
      <c r="AAL29" s="5"/>
      <c r="AAM29" s="5"/>
      <c r="AAN29" s="5"/>
      <c r="AAO29" s="5"/>
      <c r="AAP29" s="5"/>
      <c r="AAQ29" s="5"/>
      <c r="AAR29" s="5"/>
      <c r="AAS29" s="5"/>
      <c r="AAT29" s="5"/>
      <c r="AAU29" s="5"/>
      <c r="AAV29" s="5"/>
      <c r="AAW29" s="5"/>
      <c r="AAX29" s="5"/>
      <c r="AAY29" s="5"/>
      <c r="AAZ29" s="5"/>
      <c r="ABA29" s="5"/>
      <c r="ABB29" s="5"/>
      <c r="ABC29" s="5"/>
      <c r="ABD29" s="5"/>
      <c r="ABE29" s="5"/>
      <c r="ABF29" s="5"/>
      <c r="ABG29" s="5"/>
      <c r="ABH29" s="5"/>
      <c r="ABI29" s="5"/>
      <c r="ABJ29" s="5"/>
      <c r="ABK29" s="5"/>
      <c r="ABL29" s="5"/>
      <c r="ABM29" s="5"/>
      <c r="ABN29" s="5"/>
      <c r="ABO29" s="5"/>
      <c r="ABP29" s="5"/>
      <c r="ABQ29" s="5"/>
      <c r="ABR29" s="5"/>
      <c r="ABS29" s="5"/>
      <c r="ABT29" s="5"/>
      <c r="ABU29" s="5"/>
      <c r="ABV29" s="5"/>
      <c r="ABW29" s="5"/>
      <c r="ABX29" s="5"/>
      <c r="ABY29" s="5"/>
      <c r="ABZ29" s="5"/>
      <c r="ACA29" s="5"/>
      <c r="ACB29" s="5"/>
      <c r="ACC29" s="5"/>
      <c r="ACD29" s="5"/>
      <c r="ACE29" s="5"/>
      <c r="ACF29" s="5"/>
      <c r="ACG29" s="5"/>
      <c r="ACH29" s="5"/>
      <c r="ACI29" s="5"/>
      <c r="ACJ29" s="5"/>
      <c r="ACK29" s="5"/>
      <c r="ACL29" s="5"/>
      <c r="ACM29" s="5"/>
      <c r="ACN29" s="5"/>
      <c r="ACO29" s="5"/>
      <c r="ACP29" s="5"/>
      <c r="ACQ29" s="5"/>
      <c r="ACR29" s="5"/>
      <c r="ACS29" s="5"/>
      <c r="ACT29" s="5"/>
      <c r="ACU29" s="5"/>
      <c r="ACV29" s="5"/>
      <c r="ACW29" s="5"/>
      <c r="ACX29" s="5"/>
      <c r="ACY29" s="5"/>
      <c r="ACZ29" s="5"/>
      <c r="ADA29" s="5"/>
      <c r="ADB29" s="5"/>
      <c r="ADC29" s="5"/>
      <c r="ADD29" s="5"/>
      <c r="ADE29" s="5"/>
      <c r="ADF29" s="5"/>
      <c r="ADG29" s="5"/>
      <c r="ADH29" s="5"/>
      <c r="ADI29" s="5"/>
      <c r="ADJ29" s="5"/>
      <c r="ADK29" s="5"/>
      <c r="ADL29" s="5"/>
      <c r="ADM29" s="5"/>
      <c r="ADN29" s="5"/>
      <c r="ADO29" s="5"/>
      <c r="ADP29" s="5"/>
      <c r="ADQ29" s="5"/>
      <c r="ADR29" s="5"/>
      <c r="ADS29" s="5"/>
      <c r="ADT29" s="5"/>
      <c r="ADU29" s="5"/>
      <c r="ADV29" s="5"/>
      <c r="ADW29" s="5"/>
      <c r="ADX29" s="5"/>
      <c r="ADY29" s="5"/>
      <c r="ADZ29" s="5"/>
      <c r="AEA29" s="5"/>
      <c r="AEB29" s="5"/>
      <c r="AEC29" s="5"/>
      <c r="AED29" s="5"/>
      <c r="AEE29" s="5"/>
      <c r="AEF29" s="5"/>
      <c r="AEG29" s="5"/>
      <c r="AEH29" s="5"/>
      <c r="AEI29" s="5"/>
      <c r="AEJ29" s="5"/>
      <c r="AEK29" s="5"/>
      <c r="AEL29" s="5"/>
      <c r="AEM29" s="5"/>
      <c r="AEN29" s="5"/>
      <c r="AEO29" s="5"/>
      <c r="AEP29" s="5"/>
      <c r="AEQ29" s="5"/>
      <c r="AER29" s="5"/>
      <c r="AES29" s="5"/>
      <c r="AET29" s="5"/>
      <c r="AEU29" s="5"/>
      <c r="AEV29" s="5"/>
      <c r="AEW29" s="5"/>
      <c r="AEX29" s="5"/>
      <c r="AEY29" s="5"/>
      <c r="AEZ29" s="5"/>
      <c r="AFA29" s="5"/>
      <c r="AFB29" s="5"/>
      <c r="AFC29" s="5"/>
      <c r="AFD29" s="5"/>
      <c r="AFE29" s="5"/>
      <c r="AFF29" s="5"/>
      <c r="AFG29" s="5"/>
      <c r="AFH29" s="5"/>
      <c r="AFI29" s="5"/>
      <c r="AFJ29" s="5"/>
      <c r="AFK29" s="5"/>
      <c r="AFL29" s="5"/>
      <c r="AFM29" s="5"/>
      <c r="AFN29" s="5"/>
      <c r="AFO29" s="5"/>
      <c r="AFP29" s="5"/>
      <c r="AFQ29" s="5"/>
      <c r="AFR29" s="5"/>
      <c r="AFS29" s="5"/>
      <c r="AFT29" s="5"/>
      <c r="AFU29" s="5"/>
      <c r="AFV29" s="5"/>
      <c r="AFW29" s="5"/>
      <c r="AFX29" s="5"/>
      <c r="AFY29" s="5"/>
      <c r="AFZ29" s="5"/>
      <c r="AGA29" s="5"/>
      <c r="AGB29" s="5"/>
      <c r="AGC29" s="5"/>
      <c r="AGD29" s="5"/>
      <c r="AGE29" s="5"/>
      <c r="AGF29" s="5"/>
      <c r="AGG29" s="5"/>
      <c r="AGH29" s="5"/>
      <c r="AGI29" s="5"/>
      <c r="AGJ29" s="5"/>
      <c r="AGK29" s="5"/>
      <c r="AGL29" s="5"/>
      <c r="AGM29" s="5"/>
      <c r="AGN29" s="5"/>
      <c r="AGO29" s="5"/>
      <c r="AGP29" s="5"/>
      <c r="AGQ29" s="5"/>
      <c r="AGR29" s="5"/>
      <c r="AGS29" s="5"/>
      <c r="AGT29" s="5"/>
      <c r="AGU29" s="5"/>
      <c r="AGV29" s="5"/>
      <c r="AGW29" s="5"/>
      <c r="AGX29" s="5"/>
      <c r="AGY29" s="5"/>
      <c r="AGZ29" s="5"/>
      <c r="AHA29" s="5"/>
      <c r="AHB29" s="5"/>
      <c r="AHC29" s="5"/>
      <c r="AHD29" s="5"/>
      <c r="AHE29" s="5"/>
      <c r="AHF29" s="5"/>
      <c r="AHG29" s="5"/>
      <c r="AHH29" s="5"/>
      <c r="AHI29" s="5"/>
      <c r="AHJ29" s="5"/>
      <c r="AHK29" s="5"/>
      <c r="AHL29" s="5"/>
      <c r="AHM29" s="5"/>
      <c r="AHN29" s="5"/>
      <c r="AHO29" s="5"/>
      <c r="AHP29" s="5"/>
      <c r="AHQ29" s="5"/>
      <c r="AHR29" s="5"/>
      <c r="AHS29" s="5"/>
      <c r="AHT29" s="5"/>
      <c r="AHU29" s="5"/>
      <c r="AHV29" s="5"/>
      <c r="AHW29" s="5"/>
      <c r="AHX29" s="5"/>
      <c r="AHY29" s="5"/>
      <c r="AHZ29" s="5"/>
      <c r="AIA29" s="5"/>
      <c r="AIB29" s="5"/>
      <c r="AIC29" s="5"/>
      <c r="AID29" s="5"/>
      <c r="AIE29" s="5"/>
      <c r="AIF29" s="5"/>
      <c r="AIG29" s="5"/>
      <c r="AIH29" s="5"/>
      <c r="AII29" s="5"/>
      <c r="AIJ29" s="5"/>
      <c r="AIK29" s="5"/>
      <c r="AIL29" s="5"/>
      <c r="AIM29" s="5"/>
      <c r="AIN29" s="5"/>
      <c r="AIO29" s="5"/>
      <c r="AIP29" s="5"/>
      <c r="AIQ29" s="5"/>
      <c r="AIR29" s="5"/>
      <c r="AIS29" s="5"/>
      <c r="AIT29" s="5"/>
      <c r="AIU29" s="5"/>
      <c r="AIV29" s="5"/>
      <c r="AIW29" s="5"/>
      <c r="AIX29" s="5"/>
      <c r="AIY29" s="5"/>
      <c r="AIZ29" s="5"/>
      <c r="AJA29" s="5"/>
      <c r="AJB29" s="5"/>
      <c r="AJC29" s="5"/>
      <c r="AJD29" s="5"/>
      <c r="AJE29" s="5"/>
      <c r="AJF29" s="5"/>
      <c r="AJG29" s="5"/>
      <c r="AJH29" s="5"/>
      <c r="AJI29" s="5"/>
      <c r="AJJ29" s="5"/>
      <c r="AJK29" s="5"/>
      <c r="AJL29" s="5"/>
      <c r="AJM29" s="5"/>
      <c r="AJN29" s="5"/>
      <c r="AJO29" s="5"/>
      <c r="AJP29" s="5"/>
      <c r="AJQ29" s="5"/>
      <c r="AJR29" s="5"/>
      <c r="AJS29" s="5"/>
      <c r="AJT29" s="5"/>
      <c r="AJU29" s="5"/>
      <c r="AJV29" s="5"/>
      <c r="AJW29" s="5"/>
      <c r="AJX29" s="5"/>
      <c r="AJY29" s="5"/>
      <c r="AJZ29" s="5"/>
      <c r="AKA29" s="5"/>
      <c r="AKB29" s="5"/>
      <c r="AKC29" s="5"/>
      <c r="AKD29" s="5"/>
      <c r="AKE29" s="5"/>
      <c r="AKF29" s="5"/>
      <c r="AKG29" s="5"/>
      <c r="AKH29" s="5"/>
      <c r="AKI29" s="5"/>
      <c r="AKJ29" s="5"/>
      <c r="AKK29" s="5"/>
      <c r="AKL29" s="5"/>
      <c r="AKM29" s="5"/>
      <c r="AKN29" s="5"/>
      <c r="AKO29" s="5"/>
      <c r="AKP29" s="5"/>
      <c r="AKQ29" s="5"/>
      <c r="AKR29" s="5"/>
      <c r="AKS29" s="5"/>
      <c r="AKT29" s="5"/>
      <c r="AKU29" s="5"/>
      <c r="AKV29" s="5"/>
      <c r="AKW29" s="5"/>
      <c r="AKX29" s="5"/>
      <c r="AKY29" s="5"/>
      <c r="AKZ29" s="5"/>
      <c r="ALA29" s="5"/>
      <c r="ALB29" s="5"/>
      <c r="ALC29" s="5"/>
      <c r="ALD29" s="5"/>
      <c r="ALE29" s="5"/>
      <c r="ALF29" s="5"/>
      <c r="ALG29" s="5"/>
      <c r="ALH29" s="5"/>
      <c r="ALI29" s="5"/>
      <c r="ALJ29" s="5"/>
      <c r="ALK29" s="5"/>
      <c r="ALL29" s="5"/>
      <c r="ALM29" s="5"/>
      <c r="ALN29" s="5"/>
      <c r="ALO29" s="5"/>
      <c r="ALP29" s="5"/>
      <c r="ALQ29" s="5"/>
      <c r="ALR29" s="5"/>
      <c r="ALS29" s="5"/>
      <c r="ALT29" s="5"/>
      <c r="ALU29" s="5"/>
      <c r="ALV29" s="5"/>
      <c r="ALW29" s="5"/>
      <c r="ALX29" s="5"/>
      <c r="ALY29" s="5"/>
      <c r="ALZ29" s="5"/>
      <c r="AMA29" s="5"/>
      <c r="AMB29" s="5"/>
      <c r="AMC29" s="5"/>
      <c r="AMD29" s="5"/>
      <c r="AME29" s="5"/>
      <c r="AMF29" s="5"/>
      <c r="AMG29" s="5"/>
      <c r="AMH29" s="5"/>
      <c r="AMI29" s="5"/>
      <c r="AMJ29" s="5"/>
      <c r="AMK29" s="5"/>
      <c r="AML29" s="5"/>
      <c r="AMM29" s="5"/>
      <c r="AMN29" s="5"/>
      <c r="AMO29" s="5"/>
      <c r="AMP29" s="5"/>
      <c r="AMQ29" s="5"/>
      <c r="AMR29" s="5"/>
      <c r="AMS29" s="5"/>
      <c r="AMT29" s="5"/>
      <c r="AMU29" s="5"/>
      <c r="AMV29" s="5"/>
      <c r="AMW29" s="5"/>
      <c r="AMX29" s="5"/>
      <c r="AMY29" s="5"/>
      <c r="AMZ29" s="5"/>
      <c r="ANA29" s="5"/>
      <c r="ANB29" s="5"/>
      <c r="ANC29" s="5"/>
      <c r="AND29" s="5"/>
      <c r="ANE29" s="5"/>
      <c r="ANF29" s="5"/>
      <c r="ANG29" s="5"/>
      <c r="ANH29" s="5"/>
      <c r="ANI29" s="5"/>
      <c r="ANJ29" s="5"/>
      <c r="ANK29" s="5"/>
      <c r="ANL29" s="5"/>
      <c r="ANM29" s="5"/>
      <c r="ANN29" s="5"/>
      <c r="ANO29" s="5"/>
      <c r="ANP29" s="5"/>
      <c r="ANQ29" s="5"/>
      <c r="ANR29" s="5"/>
      <c r="ANS29" s="5"/>
      <c r="ANT29" s="5"/>
      <c r="ANU29" s="5"/>
      <c r="ANV29" s="5"/>
      <c r="ANW29" s="5"/>
      <c r="ANX29" s="5"/>
      <c r="ANY29" s="5"/>
      <c r="ANZ29" s="5"/>
      <c r="AOA29" s="5"/>
      <c r="AOB29" s="5"/>
      <c r="AOC29" s="5"/>
      <c r="AOD29" s="5"/>
      <c r="AOE29" s="5"/>
      <c r="AOF29" s="5"/>
      <c r="AOG29" s="5"/>
      <c r="AOH29" s="5"/>
      <c r="AOI29" s="5"/>
      <c r="AOJ29" s="5"/>
      <c r="AOK29" s="5"/>
      <c r="AOL29" s="5"/>
      <c r="AOM29" s="5"/>
      <c r="AON29" s="5"/>
      <c r="AOO29" s="5"/>
      <c r="AOP29" s="5"/>
      <c r="AOQ29" s="5"/>
      <c r="AOR29" s="5"/>
      <c r="AOS29" s="5"/>
      <c r="AOT29" s="5"/>
      <c r="AOU29" s="5"/>
      <c r="AOV29" s="5"/>
      <c r="AOW29" s="5"/>
      <c r="AOX29" s="5"/>
      <c r="AOY29" s="5"/>
      <c r="AOZ29" s="5"/>
      <c r="APA29" s="5"/>
      <c r="APB29" s="5"/>
      <c r="APC29" s="5"/>
      <c r="APD29" s="5"/>
      <c r="APE29" s="5"/>
      <c r="APF29" s="5"/>
      <c r="APG29" s="5"/>
      <c r="APH29" s="5"/>
      <c r="API29" s="5"/>
      <c r="APJ29" s="5"/>
      <c r="APK29" s="5"/>
      <c r="APL29" s="5"/>
      <c r="APM29" s="5"/>
      <c r="APN29" s="5"/>
      <c r="APO29" s="5"/>
      <c r="APP29" s="5"/>
      <c r="APQ29" s="5"/>
      <c r="APR29" s="5"/>
      <c r="APS29" s="5"/>
      <c r="APT29" s="5"/>
      <c r="APU29" s="5"/>
      <c r="APV29" s="5"/>
      <c r="APW29" s="5"/>
      <c r="APX29" s="5"/>
      <c r="APY29" s="5"/>
      <c r="APZ29" s="5"/>
      <c r="AQA29" s="5"/>
      <c r="AQB29" s="5"/>
      <c r="AQC29" s="5"/>
      <c r="AQD29" s="5"/>
      <c r="AQE29" s="5"/>
      <c r="AQF29" s="5"/>
      <c r="AQG29" s="5"/>
      <c r="AQH29" s="5"/>
      <c r="AQI29" s="5"/>
      <c r="AQJ29" s="5"/>
      <c r="AQK29" s="5"/>
      <c r="AQL29" s="5"/>
      <c r="AQM29" s="5"/>
      <c r="AQN29" s="5"/>
      <c r="AQO29" s="5"/>
      <c r="AQP29" s="5"/>
      <c r="AQQ29" s="5"/>
      <c r="AQR29" s="5"/>
      <c r="AQS29" s="5"/>
      <c r="AQT29" s="5"/>
      <c r="AQU29" s="5"/>
      <c r="AQV29" s="5"/>
      <c r="AQW29" s="5"/>
      <c r="AQX29" s="5"/>
      <c r="AQY29" s="5"/>
      <c r="AQZ29" s="5"/>
      <c r="ARA29" s="5"/>
      <c r="ARB29" s="5"/>
      <c r="ARC29" s="5"/>
      <c r="ARD29" s="5"/>
      <c r="ARE29" s="5"/>
      <c r="ARF29" s="5"/>
      <c r="ARG29" s="5"/>
      <c r="ARH29" s="5"/>
      <c r="ARI29" s="5"/>
      <c r="ARJ29" s="5"/>
      <c r="ARK29" s="5"/>
      <c r="ARL29" s="5"/>
      <c r="ARM29" s="5"/>
      <c r="ARN29" s="5"/>
      <c r="ARO29" s="30"/>
    </row>
    <row r="30" spans="1:1159" x14ac:dyDescent="0.25">
      <c r="A30" s="3" t="s">
        <v>214</v>
      </c>
      <c r="B30" s="3" t="s">
        <v>215</v>
      </c>
      <c r="C30" s="3" t="s">
        <v>147</v>
      </c>
      <c r="D30" s="6" t="s">
        <v>177</v>
      </c>
      <c r="E30" s="3" t="s">
        <v>216</v>
      </c>
      <c r="F30" s="24">
        <v>41.28</v>
      </c>
      <c r="G30" s="3">
        <v>3</v>
      </c>
      <c r="H30" s="3" t="s">
        <v>142</v>
      </c>
      <c r="I30" s="3" t="s">
        <v>123</v>
      </c>
      <c r="J30" s="24">
        <v>1.28</v>
      </c>
      <c r="K30" s="15">
        <v>23.2</v>
      </c>
      <c r="L30" s="15">
        <v>1</v>
      </c>
      <c r="M30" s="3">
        <v>1.7</v>
      </c>
      <c r="N30" s="24">
        <v>0.59</v>
      </c>
      <c r="O30" s="4">
        <v>45910</v>
      </c>
      <c r="P30" s="6">
        <v>39.050351999999997</v>
      </c>
      <c r="Q30" s="6">
        <v>-83.406946000000005</v>
      </c>
      <c r="R30" s="6">
        <v>39.048788999999999</v>
      </c>
      <c r="S30" s="6">
        <v>-83.409853999999996</v>
      </c>
      <c r="T30" s="3">
        <v>180.6</v>
      </c>
      <c r="U30" s="3">
        <v>52.4</v>
      </c>
      <c r="V30" s="24">
        <v>3.45</v>
      </c>
      <c r="W30" s="3">
        <v>15.2</v>
      </c>
      <c r="X30" s="3">
        <v>10.7</v>
      </c>
      <c r="Y30" s="3">
        <v>0.1</v>
      </c>
      <c r="Z30" s="3" t="s">
        <v>185</v>
      </c>
      <c r="AA30" s="3">
        <v>1285</v>
      </c>
      <c r="AB30" s="3">
        <f t="shared" si="0"/>
        <v>67334</v>
      </c>
      <c r="AC30" s="3" t="s">
        <v>102</v>
      </c>
      <c r="AD30" s="3" t="s">
        <v>103</v>
      </c>
      <c r="AE30" s="3" t="s">
        <v>103</v>
      </c>
      <c r="AF30" s="6">
        <v>39.049821000000001</v>
      </c>
      <c r="AG30" s="6">
        <v>-83.409796</v>
      </c>
      <c r="AH30" s="6">
        <v>39.048940999999999</v>
      </c>
      <c r="AI30" s="6">
        <v>-83.409925999999999</v>
      </c>
      <c r="AJ30" s="3">
        <v>17</v>
      </c>
      <c r="AK30" s="15">
        <v>1.6</v>
      </c>
      <c r="AL30" s="15">
        <v>12.3</v>
      </c>
      <c r="AM30" s="3">
        <v>23</v>
      </c>
      <c r="AN30" s="3">
        <v>3.6</v>
      </c>
      <c r="AO30" s="3">
        <v>1.6</v>
      </c>
      <c r="AP30" s="3">
        <v>130</v>
      </c>
      <c r="AQ30" s="3">
        <v>173</v>
      </c>
      <c r="AR30" s="3">
        <v>14.42</v>
      </c>
      <c r="AS30" s="3">
        <v>49</v>
      </c>
      <c r="AT30" s="3">
        <v>30</v>
      </c>
      <c r="AU30" s="3">
        <v>36</v>
      </c>
      <c r="AV30" s="3">
        <v>30</v>
      </c>
      <c r="AW30" s="3">
        <v>996</v>
      </c>
      <c r="AX30" s="3">
        <f>ROUND(100*AW30/(2*AA30),0)</f>
        <v>39</v>
      </c>
      <c r="AY30" s="3" t="s">
        <v>217</v>
      </c>
      <c r="AZ30" s="3" t="s">
        <v>151</v>
      </c>
      <c r="BA30" s="3">
        <v>110</v>
      </c>
      <c r="BB30" s="3">
        <v>180</v>
      </c>
      <c r="BC30" s="3" t="s">
        <v>16</v>
      </c>
      <c r="BD30" s="3" t="s">
        <v>26</v>
      </c>
      <c r="BE30" s="3" t="s">
        <v>18</v>
      </c>
      <c r="BF30" s="3" t="s">
        <v>18</v>
      </c>
      <c r="BG30" s="3" t="s">
        <v>16</v>
      </c>
    </row>
    <row r="31" spans="1:1159" s="12" customFormat="1" x14ac:dyDescent="0.25">
      <c r="A31" s="6" t="s">
        <v>240</v>
      </c>
      <c r="B31" s="13" t="s">
        <v>241</v>
      </c>
      <c r="C31" s="6" t="s">
        <v>147</v>
      </c>
      <c r="D31" s="23" t="s">
        <v>177</v>
      </c>
      <c r="E31" s="6" t="s">
        <v>216</v>
      </c>
      <c r="F31" s="21">
        <v>5.94</v>
      </c>
      <c r="G31" s="6">
        <v>2</v>
      </c>
      <c r="H31" s="6" t="s">
        <v>99</v>
      </c>
      <c r="I31" s="6" t="s">
        <v>115</v>
      </c>
      <c r="J31" s="21">
        <v>1.25</v>
      </c>
      <c r="K31" s="16">
        <v>91.2</v>
      </c>
      <c r="L31" s="6">
        <v>0.4</v>
      </c>
      <c r="M31" s="6">
        <v>1.5</v>
      </c>
      <c r="N31" s="21">
        <v>0.88</v>
      </c>
      <c r="O31" s="14">
        <v>45911</v>
      </c>
      <c r="P31" s="6">
        <v>38.976633</v>
      </c>
      <c r="Q31" s="6">
        <v>-83.475933999999995</v>
      </c>
      <c r="R31" s="6">
        <v>38.974870000000003</v>
      </c>
      <c r="S31" s="6">
        <v>-83.474114999999998</v>
      </c>
      <c r="T31" s="6">
        <v>84.7</v>
      </c>
      <c r="U31" s="6">
        <v>43.5</v>
      </c>
      <c r="V31" s="21">
        <v>1.95</v>
      </c>
      <c r="W31" s="6">
        <v>22.3</v>
      </c>
      <c r="X31" s="6">
        <v>1.5</v>
      </c>
      <c r="Y31" s="6">
        <v>0.9</v>
      </c>
      <c r="Z31" s="6" t="s">
        <v>116</v>
      </c>
      <c r="AA31" s="6">
        <v>1026</v>
      </c>
      <c r="AB31" s="3">
        <f t="shared" si="0"/>
        <v>44631</v>
      </c>
      <c r="AC31" s="6" t="s">
        <v>198</v>
      </c>
      <c r="AD31" s="6" t="s">
        <v>103</v>
      </c>
      <c r="AE31" s="6" t="s">
        <v>103</v>
      </c>
      <c r="AF31" s="6">
        <v>38.975436999999999</v>
      </c>
      <c r="AG31" s="6">
        <v>-83.474818999999997</v>
      </c>
      <c r="AH31" s="6">
        <v>38.97486</v>
      </c>
      <c r="AI31" s="6">
        <v>-83.474109999999996</v>
      </c>
      <c r="AJ31" s="6">
        <v>18</v>
      </c>
      <c r="AK31" s="16">
        <v>1.4</v>
      </c>
      <c r="AL31" s="16">
        <v>1.5</v>
      </c>
      <c r="AM31" s="6">
        <v>61</v>
      </c>
      <c r="AN31" s="6">
        <v>6.4</v>
      </c>
      <c r="AO31" s="6">
        <v>0.9</v>
      </c>
      <c r="AP31" s="6">
        <v>229</v>
      </c>
      <c r="AQ31" s="6">
        <v>597</v>
      </c>
      <c r="AR31" s="6">
        <v>30.04</v>
      </c>
      <c r="AS31" s="6">
        <v>19</v>
      </c>
      <c r="AT31" s="6">
        <v>51</v>
      </c>
      <c r="AU31" s="6">
        <v>42</v>
      </c>
      <c r="AV31" s="6">
        <v>4</v>
      </c>
      <c r="AW31" s="6">
        <v>0</v>
      </c>
      <c r="AX31" s="3">
        <f t="shared" si="1"/>
        <v>0</v>
      </c>
      <c r="AY31" s="6" t="s">
        <v>117</v>
      </c>
      <c r="AZ31" s="6" t="s">
        <v>118</v>
      </c>
      <c r="BA31" s="6" t="s">
        <v>112</v>
      </c>
      <c r="BB31" s="6" t="s">
        <v>112</v>
      </c>
      <c r="BC31" s="6" t="s">
        <v>16</v>
      </c>
      <c r="BD31" s="6" t="s">
        <v>242</v>
      </c>
      <c r="BE31" s="6" t="s">
        <v>18</v>
      </c>
      <c r="BF31" s="6" t="s">
        <v>18</v>
      </c>
      <c r="BG31" s="6" t="s">
        <v>16</v>
      </c>
    </row>
    <row r="32" spans="1:1159" s="6" customFormat="1" x14ac:dyDescent="0.25">
      <c r="A32" s="6" t="s">
        <v>182</v>
      </c>
      <c r="B32" s="6" t="s">
        <v>188</v>
      </c>
      <c r="C32" s="6" t="s">
        <v>147</v>
      </c>
      <c r="D32" s="6" t="s">
        <v>172</v>
      </c>
      <c r="E32" s="6" t="s">
        <v>173</v>
      </c>
      <c r="F32" s="21">
        <v>7.3</v>
      </c>
      <c r="G32" s="6">
        <v>2</v>
      </c>
      <c r="H32" s="6" t="s">
        <v>142</v>
      </c>
      <c r="I32" s="6" t="s">
        <v>123</v>
      </c>
      <c r="J32" s="21">
        <v>1.07</v>
      </c>
      <c r="K32" s="16">
        <v>37.200000000000003</v>
      </c>
      <c r="L32" s="6">
        <v>2.1</v>
      </c>
      <c r="M32" s="6">
        <v>3.9</v>
      </c>
      <c r="N32" s="21">
        <v>0.36</v>
      </c>
      <c r="O32" s="25">
        <v>45912</v>
      </c>
      <c r="P32" s="6">
        <v>39.285682999999999</v>
      </c>
      <c r="Q32" s="6">
        <v>-84.744217000000006</v>
      </c>
      <c r="R32" s="6">
        <v>39.284149999999997</v>
      </c>
      <c r="S32" s="6">
        <v>-84.741916000000003</v>
      </c>
      <c r="T32" s="6">
        <v>97.8</v>
      </c>
      <c r="U32" s="6">
        <v>40.700000000000003</v>
      </c>
      <c r="V32" s="21">
        <v>2.4</v>
      </c>
      <c r="W32" s="6">
        <v>16.899999999999999</v>
      </c>
      <c r="X32" s="6">
        <v>2.1</v>
      </c>
      <c r="Y32" s="6">
        <v>0.3</v>
      </c>
      <c r="Z32" s="6" t="s">
        <v>185</v>
      </c>
      <c r="AA32" s="6">
        <v>915</v>
      </c>
      <c r="AB32" s="3">
        <f t="shared" si="0"/>
        <v>37241</v>
      </c>
      <c r="AC32" s="6" t="s">
        <v>198</v>
      </c>
      <c r="AD32" s="6" t="s">
        <v>103</v>
      </c>
      <c r="AE32" s="6" t="s">
        <v>103</v>
      </c>
      <c r="AF32" s="6">
        <v>39.285676000000002</v>
      </c>
      <c r="AG32" s="6">
        <v>-84.744228000000007</v>
      </c>
      <c r="AH32" s="6">
        <v>39.285156999999998</v>
      </c>
      <c r="AI32" s="6">
        <v>-84.743334000000004</v>
      </c>
      <c r="AJ32" s="6">
        <v>28</v>
      </c>
      <c r="AK32" s="16">
        <v>1</v>
      </c>
      <c r="AL32" s="16">
        <v>1.7</v>
      </c>
      <c r="AM32" s="6">
        <v>23</v>
      </c>
      <c r="AN32" s="6">
        <v>3.7</v>
      </c>
      <c r="AO32" s="6">
        <v>2.1</v>
      </c>
      <c r="AP32" s="6">
        <v>112</v>
      </c>
      <c r="AQ32" s="6">
        <v>127</v>
      </c>
      <c r="AR32" s="24">
        <v>15.1</v>
      </c>
      <c r="AS32" s="6">
        <v>74</v>
      </c>
      <c r="AT32" s="6">
        <v>4</v>
      </c>
      <c r="AU32" s="6">
        <v>62</v>
      </c>
      <c r="AV32" s="6">
        <v>39</v>
      </c>
      <c r="AW32" s="6">
        <v>589</v>
      </c>
      <c r="AX32" s="3">
        <f t="shared" si="1"/>
        <v>32</v>
      </c>
      <c r="AY32" s="13" t="s">
        <v>228</v>
      </c>
      <c r="AZ32" s="6" t="s">
        <v>151</v>
      </c>
      <c r="BA32" s="6">
        <v>65</v>
      </c>
      <c r="BB32" s="6">
        <v>120</v>
      </c>
      <c r="BC32" s="6" t="s">
        <v>18</v>
      </c>
      <c r="BD32" s="6" t="s">
        <v>26</v>
      </c>
      <c r="BE32" s="6" t="s">
        <v>18</v>
      </c>
      <c r="BF32" s="6" t="s">
        <v>18</v>
      </c>
      <c r="BG32" s="6" t="s">
        <v>18</v>
      </c>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c r="CJ32" s="12"/>
      <c r="CK32" s="12"/>
      <c r="CL32" s="12"/>
      <c r="CM32" s="12"/>
      <c r="CN32" s="12"/>
      <c r="CO32" s="12"/>
      <c r="CP32" s="12"/>
      <c r="CQ32" s="12"/>
      <c r="CR32" s="12"/>
      <c r="CS32" s="12"/>
      <c r="CT32" s="12"/>
      <c r="CU32" s="12"/>
      <c r="CV32" s="12"/>
      <c r="CW32" s="12"/>
      <c r="CX32" s="12"/>
      <c r="CY32" s="12"/>
      <c r="CZ32" s="12"/>
      <c r="DA32" s="12"/>
      <c r="DB32" s="12"/>
      <c r="DC32" s="12"/>
      <c r="DD32" s="12"/>
      <c r="DE32" s="12"/>
      <c r="DF32" s="12"/>
      <c r="DG32" s="12"/>
      <c r="DH32" s="12"/>
      <c r="DI32" s="12"/>
      <c r="DJ32" s="12"/>
      <c r="DK32" s="12"/>
      <c r="DL32" s="12"/>
      <c r="DM32" s="12"/>
      <c r="DN32" s="12"/>
      <c r="DO32" s="12"/>
      <c r="DP32" s="12"/>
      <c r="DQ32" s="12"/>
      <c r="DR32" s="12"/>
      <c r="DS32" s="12"/>
      <c r="DT32" s="12"/>
      <c r="DU32" s="12"/>
      <c r="DV32" s="12"/>
      <c r="DW32" s="12"/>
      <c r="DX32" s="12"/>
      <c r="DY32" s="12"/>
      <c r="DZ32" s="12"/>
      <c r="EA32" s="12"/>
      <c r="EB32" s="12"/>
      <c r="EC32" s="12"/>
      <c r="ED32" s="12"/>
      <c r="EE32" s="12"/>
      <c r="EF32" s="12"/>
      <c r="EG32" s="12"/>
      <c r="EH32" s="12"/>
      <c r="EI32" s="12"/>
      <c r="EJ32" s="12"/>
      <c r="EK32" s="12"/>
      <c r="EL32" s="12"/>
      <c r="EM32" s="12"/>
      <c r="EN32" s="12"/>
      <c r="EO32" s="12"/>
      <c r="EP32" s="12"/>
      <c r="EQ32" s="12"/>
      <c r="ER32" s="12"/>
      <c r="ES32" s="12"/>
      <c r="ET32" s="12"/>
      <c r="EU32" s="12"/>
      <c r="EV32" s="12"/>
      <c r="EW32" s="12"/>
      <c r="EX32" s="12"/>
      <c r="EY32" s="12"/>
      <c r="EZ32" s="12"/>
      <c r="FA32" s="12"/>
      <c r="FB32" s="12"/>
      <c r="FC32" s="12"/>
      <c r="FD32" s="12"/>
      <c r="FE32" s="12"/>
      <c r="FF32" s="12"/>
      <c r="FG32" s="12"/>
      <c r="FH32" s="12"/>
      <c r="FI32" s="12"/>
      <c r="FJ32" s="12"/>
      <c r="FK32" s="12"/>
      <c r="FL32" s="12"/>
      <c r="FM32" s="12"/>
      <c r="FN32" s="12"/>
      <c r="FO32" s="12"/>
      <c r="FP32" s="12"/>
      <c r="FQ32" s="12"/>
      <c r="FR32" s="12"/>
      <c r="FS32" s="12"/>
      <c r="FT32" s="12"/>
      <c r="FU32" s="12"/>
      <c r="FV32" s="12"/>
      <c r="FW32" s="12"/>
      <c r="FX32" s="12"/>
      <c r="FY32" s="12"/>
      <c r="FZ32" s="12"/>
      <c r="GA32" s="12"/>
      <c r="GB32" s="12"/>
      <c r="GC32" s="12"/>
      <c r="GD32" s="12"/>
      <c r="GE32" s="12"/>
      <c r="GF32" s="12"/>
      <c r="GG32" s="12"/>
      <c r="GH32" s="12"/>
      <c r="GI32" s="12"/>
      <c r="GJ32" s="12"/>
      <c r="GK32" s="12"/>
      <c r="GL32" s="12"/>
      <c r="GM32" s="12"/>
      <c r="GN32" s="12"/>
      <c r="GO32" s="12"/>
      <c r="GP32" s="12"/>
      <c r="GQ32" s="12"/>
      <c r="GR32" s="12"/>
      <c r="GS32" s="12"/>
      <c r="GT32" s="12"/>
      <c r="GU32" s="12"/>
      <c r="GV32" s="12"/>
      <c r="GW32" s="12"/>
      <c r="GX32" s="12"/>
      <c r="GY32" s="12"/>
      <c r="GZ32" s="12"/>
      <c r="HA32" s="12"/>
      <c r="HB32" s="12"/>
      <c r="HC32" s="12"/>
      <c r="HD32" s="12"/>
      <c r="HE32" s="12"/>
      <c r="HF32" s="12"/>
      <c r="HG32" s="12"/>
      <c r="HH32" s="12"/>
      <c r="HI32" s="12"/>
      <c r="HJ32" s="12"/>
      <c r="HK32" s="12"/>
      <c r="HL32" s="12"/>
      <c r="HM32" s="12"/>
      <c r="HN32" s="12"/>
      <c r="HO32" s="12"/>
      <c r="HP32" s="12"/>
      <c r="HQ32" s="12"/>
      <c r="HR32" s="12"/>
      <c r="HS32" s="12"/>
      <c r="HT32" s="12"/>
      <c r="HU32" s="12"/>
      <c r="HV32" s="12"/>
      <c r="HW32" s="12"/>
      <c r="HX32" s="12"/>
      <c r="HY32" s="12"/>
      <c r="HZ32" s="12"/>
      <c r="IA32" s="12"/>
      <c r="IB32" s="12"/>
      <c r="IC32" s="12"/>
      <c r="ID32" s="12"/>
      <c r="IE32" s="12"/>
      <c r="IF32" s="12"/>
      <c r="IG32" s="12"/>
      <c r="IH32" s="12"/>
      <c r="II32" s="12"/>
      <c r="IJ32" s="12"/>
      <c r="IK32" s="12"/>
      <c r="IL32" s="12"/>
      <c r="IM32" s="12"/>
      <c r="IN32" s="12"/>
      <c r="IO32" s="12"/>
      <c r="IP32" s="12"/>
      <c r="IQ32" s="12"/>
      <c r="IR32" s="12"/>
      <c r="IS32" s="12"/>
      <c r="IT32" s="12"/>
      <c r="IU32" s="12"/>
      <c r="IV32" s="12"/>
      <c r="IW32" s="12"/>
      <c r="IX32" s="12"/>
      <c r="IY32" s="12"/>
      <c r="IZ32" s="12"/>
      <c r="JA32" s="12"/>
      <c r="JB32" s="12"/>
      <c r="JC32" s="12"/>
      <c r="JD32" s="12"/>
      <c r="JE32" s="12"/>
      <c r="JF32" s="12"/>
      <c r="JG32" s="12"/>
      <c r="JH32" s="12"/>
      <c r="JI32" s="12"/>
      <c r="JJ32" s="12"/>
      <c r="JK32" s="12"/>
      <c r="JL32" s="12"/>
      <c r="JM32" s="12"/>
      <c r="JN32" s="12"/>
      <c r="JO32" s="12"/>
      <c r="JP32" s="12"/>
      <c r="JQ32" s="12"/>
      <c r="JR32" s="12"/>
      <c r="JS32" s="12"/>
      <c r="JT32" s="12"/>
      <c r="JU32" s="12"/>
      <c r="JV32" s="12"/>
      <c r="JW32" s="12"/>
      <c r="JX32" s="12"/>
      <c r="JY32" s="12"/>
      <c r="JZ32" s="12"/>
      <c r="KA32" s="12"/>
      <c r="KB32" s="12"/>
      <c r="KC32" s="12"/>
      <c r="KD32" s="12"/>
      <c r="KE32" s="12"/>
      <c r="KF32" s="12"/>
      <c r="KG32" s="12"/>
      <c r="KH32" s="12"/>
      <c r="KI32" s="12"/>
      <c r="KJ32" s="12"/>
      <c r="KK32" s="12"/>
      <c r="KL32" s="12"/>
      <c r="KM32" s="12"/>
      <c r="KN32" s="12"/>
      <c r="KO32" s="12"/>
      <c r="KP32" s="12"/>
      <c r="KQ32" s="12"/>
      <c r="KR32" s="12"/>
      <c r="KS32" s="12"/>
      <c r="KT32" s="12"/>
      <c r="KU32" s="12"/>
      <c r="KV32" s="12"/>
      <c r="KW32" s="12"/>
      <c r="KX32" s="12"/>
      <c r="KY32" s="12"/>
      <c r="KZ32" s="12"/>
      <c r="LA32" s="12"/>
      <c r="LB32" s="12"/>
      <c r="LC32" s="12"/>
      <c r="LD32" s="12"/>
      <c r="LE32" s="12"/>
      <c r="LF32" s="12"/>
      <c r="LG32" s="12"/>
      <c r="LH32" s="12"/>
      <c r="LI32" s="12"/>
      <c r="LJ32" s="12"/>
      <c r="LK32" s="12"/>
      <c r="LL32" s="12"/>
      <c r="LM32" s="12"/>
      <c r="LN32" s="12"/>
      <c r="LO32" s="12"/>
      <c r="LP32" s="12"/>
      <c r="LQ32" s="12"/>
      <c r="LR32" s="12"/>
      <c r="LS32" s="12"/>
      <c r="LT32" s="12"/>
      <c r="LU32" s="12"/>
      <c r="LV32" s="12"/>
      <c r="LW32" s="12"/>
      <c r="LX32" s="12"/>
      <c r="LY32" s="12"/>
      <c r="LZ32" s="12"/>
      <c r="MA32" s="12"/>
      <c r="MB32" s="12"/>
      <c r="MC32" s="12"/>
      <c r="MD32" s="12"/>
      <c r="ME32" s="12"/>
      <c r="MF32" s="12"/>
      <c r="MG32" s="12"/>
      <c r="MH32" s="12"/>
      <c r="MI32" s="12"/>
      <c r="MJ32" s="12"/>
      <c r="MK32" s="12"/>
      <c r="ML32" s="12"/>
      <c r="MM32" s="12"/>
      <c r="MN32" s="12"/>
      <c r="MO32" s="12"/>
      <c r="MP32" s="12"/>
      <c r="MQ32" s="12"/>
      <c r="MR32" s="12"/>
      <c r="MS32" s="12"/>
      <c r="MT32" s="12"/>
      <c r="MU32" s="12"/>
      <c r="MV32" s="12"/>
      <c r="MW32" s="12"/>
      <c r="MX32" s="12"/>
      <c r="MY32" s="12"/>
      <c r="MZ32" s="12"/>
      <c r="NA32" s="12"/>
      <c r="NB32" s="12"/>
      <c r="NC32" s="12"/>
      <c r="ND32" s="12"/>
      <c r="NE32" s="12"/>
      <c r="NF32" s="12"/>
      <c r="NG32" s="12"/>
      <c r="NH32" s="12"/>
      <c r="NI32" s="12"/>
      <c r="NJ32" s="12"/>
      <c r="NK32" s="12"/>
      <c r="NL32" s="12"/>
      <c r="NM32" s="12"/>
      <c r="NN32" s="12"/>
      <c r="NO32" s="12"/>
      <c r="NP32" s="12"/>
      <c r="NQ32" s="12"/>
      <c r="NR32" s="12"/>
      <c r="NS32" s="12"/>
      <c r="NT32" s="12"/>
      <c r="NU32" s="12"/>
      <c r="NV32" s="12"/>
      <c r="NW32" s="12"/>
      <c r="NX32" s="12"/>
      <c r="NY32" s="12"/>
      <c r="NZ32" s="12"/>
      <c r="OA32" s="12"/>
      <c r="OB32" s="12"/>
      <c r="OC32" s="12"/>
      <c r="OD32" s="12"/>
      <c r="OE32" s="12"/>
      <c r="OF32" s="12"/>
      <c r="OG32" s="12"/>
      <c r="OH32" s="12"/>
      <c r="OI32" s="12"/>
      <c r="OJ32" s="12"/>
      <c r="OK32" s="12"/>
      <c r="OL32" s="12"/>
      <c r="OM32" s="12"/>
      <c r="ON32" s="12"/>
      <c r="OO32" s="12"/>
      <c r="OP32" s="12"/>
      <c r="OQ32" s="12"/>
      <c r="OR32" s="12"/>
      <c r="OS32" s="12"/>
      <c r="OT32" s="12"/>
      <c r="OU32" s="12"/>
      <c r="OV32" s="12"/>
      <c r="OW32" s="12"/>
      <c r="OX32" s="12"/>
      <c r="OY32" s="12"/>
      <c r="OZ32" s="12"/>
      <c r="PA32" s="12"/>
      <c r="PB32" s="12"/>
      <c r="PC32" s="12"/>
      <c r="PD32" s="12"/>
      <c r="PE32" s="12"/>
      <c r="PF32" s="12"/>
      <c r="PG32" s="12"/>
      <c r="PH32" s="12"/>
      <c r="PI32" s="12"/>
      <c r="PJ32" s="12"/>
      <c r="PK32" s="12"/>
      <c r="PL32" s="12"/>
      <c r="PM32" s="12"/>
      <c r="PN32" s="12"/>
      <c r="PO32" s="12"/>
      <c r="PP32" s="12"/>
      <c r="PQ32" s="12"/>
      <c r="PR32" s="12"/>
      <c r="PS32" s="12"/>
      <c r="PT32" s="12"/>
      <c r="PU32" s="12"/>
      <c r="PV32" s="12"/>
      <c r="PW32" s="12"/>
      <c r="PX32" s="12"/>
      <c r="PY32" s="12"/>
      <c r="PZ32" s="12"/>
      <c r="QA32" s="12"/>
      <c r="QB32" s="12"/>
      <c r="QC32" s="12"/>
      <c r="QD32" s="12"/>
      <c r="QE32" s="12"/>
      <c r="QF32" s="12"/>
      <c r="QG32" s="12"/>
      <c r="QH32" s="12"/>
      <c r="QI32" s="12"/>
      <c r="QJ32" s="12"/>
      <c r="QK32" s="12"/>
      <c r="QL32" s="12"/>
      <c r="QM32" s="12"/>
      <c r="QN32" s="12"/>
      <c r="QO32" s="12"/>
      <c r="QP32" s="12"/>
      <c r="QQ32" s="12"/>
      <c r="QR32" s="12"/>
      <c r="QS32" s="12"/>
      <c r="QT32" s="12"/>
      <c r="QU32" s="12"/>
      <c r="QV32" s="12"/>
      <c r="QW32" s="12"/>
      <c r="QX32" s="12"/>
      <c r="QY32" s="12"/>
      <c r="QZ32" s="12"/>
      <c r="RA32" s="12"/>
      <c r="RB32" s="12"/>
      <c r="RC32" s="12"/>
      <c r="RD32" s="12"/>
      <c r="RE32" s="12"/>
      <c r="RF32" s="12"/>
      <c r="RG32" s="12"/>
      <c r="RH32" s="12"/>
      <c r="RI32" s="12"/>
      <c r="RJ32" s="12"/>
      <c r="RK32" s="12"/>
      <c r="RL32" s="12"/>
      <c r="RM32" s="12"/>
      <c r="RN32" s="12"/>
      <c r="RO32" s="12"/>
      <c r="RP32" s="12"/>
      <c r="RQ32" s="12"/>
      <c r="RR32" s="12"/>
      <c r="RS32" s="12"/>
      <c r="RT32" s="12"/>
      <c r="RU32" s="12"/>
      <c r="RV32" s="12"/>
      <c r="RW32" s="12"/>
      <c r="RX32" s="12"/>
      <c r="RY32" s="12"/>
      <c r="RZ32" s="12"/>
      <c r="SA32" s="12"/>
      <c r="SB32" s="12"/>
      <c r="SC32" s="12"/>
      <c r="SD32" s="12"/>
      <c r="SE32" s="12"/>
      <c r="SF32" s="12"/>
      <c r="SG32" s="12"/>
      <c r="SH32" s="12"/>
      <c r="SI32" s="12"/>
      <c r="SJ32" s="12"/>
      <c r="SK32" s="12"/>
      <c r="SL32" s="12"/>
      <c r="SM32" s="12"/>
      <c r="SN32" s="12"/>
      <c r="SO32" s="12"/>
      <c r="SP32" s="12"/>
      <c r="SQ32" s="12"/>
      <c r="SR32" s="12"/>
      <c r="SS32" s="12"/>
      <c r="ST32" s="12"/>
      <c r="SU32" s="12"/>
      <c r="SV32" s="12"/>
      <c r="SW32" s="12"/>
      <c r="SX32" s="12"/>
      <c r="SY32" s="12"/>
      <c r="SZ32" s="12"/>
      <c r="TA32" s="12"/>
      <c r="TB32" s="12"/>
      <c r="TC32" s="12"/>
      <c r="TD32" s="12"/>
      <c r="TE32" s="12"/>
      <c r="TF32" s="12"/>
      <c r="TG32" s="12"/>
      <c r="TH32" s="12"/>
      <c r="TI32" s="12"/>
      <c r="TJ32" s="12"/>
      <c r="TK32" s="12"/>
      <c r="TL32" s="12"/>
      <c r="TM32" s="12"/>
      <c r="TN32" s="12"/>
      <c r="TO32" s="12"/>
      <c r="TP32" s="12"/>
      <c r="TQ32" s="12"/>
      <c r="TR32" s="12"/>
      <c r="TS32" s="12"/>
      <c r="TT32" s="12"/>
      <c r="TU32" s="12"/>
      <c r="TV32" s="12"/>
      <c r="TW32" s="12"/>
      <c r="TX32" s="12"/>
      <c r="TY32" s="12"/>
      <c r="TZ32" s="12"/>
      <c r="UA32" s="12"/>
      <c r="UB32" s="12"/>
      <c r="UC32" s="12"/>
      <c r="UD32" s="12"/>
      <c r="UE32" s="12"/>
      <c r="UF32" s="12"/>
      <c r="UG32" s="12"/>
      <c r="UH32" s="12"/>
      <c r="UI32" s="12"/>
      <c r="UJ32" s="12"/>
      <c r="UK32" s="12"/>
      <c r="UL32" s="12"/>
      <c r="UM32" s="12"/>
      <c r="UN32" s="12"/>
      <c r="UO32" s="12"/>
      <c r="UP32" s="12"/>
      <c r="UQ32" s="12"/>
      <c r="UR32" s="12"/>
      <c r="US32" s="12"/>
      <c r="UT32" s="12"/>
      <c r="UU32" s="12"/>
      <c r="UV32" s="12"/>
      <c r="UW32" s="12"/>
      <c r="UX32" s="12"/>
      <c r="UY32" s="12"/>
      <c r="UZ32" s="12"/>
      <c r="VA32" s="12"/>
      <c r="VB32" s="12"/>
      <c r="VC32" s="12"/>
      <c r="VD32" s="12"/>
      <c r="VE32" s="12"/>
      <c r="VF32" s="12"/>
      <c r="VG32" s="12"/>
      <c r="VH32" s="12"/>
      <c r="VI32" s="12"/>
      <c r="VJ32" s="12"/>
      <c r="VK32" s="12"/>
      <c r="VL32" s="12"/>
      <c r="VM32" s="12"/>
      <c r="VN32" s="12"/>
      <c r="VO32" s="12"/>
      <c r="VP32" s="12"/>
      <c r="VQ32" s="12"/>
      <c r="VR32" s="12"/>
      <c r="VS32" s="12"/>
      <c r="VT32" s="12"/>
      <c r="VU32" s="12"/>
      <c r="VV32" s="12"/>
      <c r="VW32" s="12"/>
      <c r="VX32" s="12"/>
      <c r="VY32" s="12"/>
      <c r="VZ32" s="12"/>
      <c r="WA32" s="12"/>
      <c r="WB32" s="12"/>
      <c r="WC32" s="12"/>
      <c r="WD32" s="12"/>
      <c r="WE32" s="12"/>
      <c r="WF32" s="12"/>
      <c r="WG32" s="12"/>
      <c r="WH32" s="12"/>
      <c r="WI32" s="12"/>
      <c r="WJ32" s="12"/>
      <c r="WK32" s="12"/>
      <c r="WL32" s="12"/>
      <c r="WM32" s="12"/>
      <c r="WN32" s="12"/>
      <c r="WO32" s="12"/>
      <c r="WP32" s="12"/>
      <c r="WQ32" s="12"/>
      <c r="WR32" s="12"/>
      <c r="WS32" s="12"/>
      <c r="WT32" s="12"/>
      <c r="WU32" s="12"/>
      <c r="WV32" s="12"/>
      <c r="WW32" s="12"/>
      <c r="WX32" s="12"/>
      <c r="WY32" s="12"/>
      <c r="WZ32" s="12"/>
      <c r="XA32" s="12"/>
      <c r="XB32" s="12"/>
      <c r="XC32" s="12"/>
      <c r="XD32" s="12"/>
      <c r="XE32" s="12"/>
      <c r="XF32" s="12"/>
      <c r="XG32" s="12"/>
      <c r="XH32" s="12"/>
      <c r="XI32" s="12"/>
      <c r="XJ32" s="12"/>
      <c r="XK32" s="12"/>
      <c r="XL32" s="12"/>
      <c r="XM32" s="12"/>
      <c r="XN32" s="12"/>
      <c r="XO32" s="12"/>
      <c r="XP32" s="12"/>
      <c r="XQ32" s="12"/>
      <c r="XR32" s="12"/>
      <c r="XS32" s="12"/>
      <c r="XT32" s="12"/>
      <c r="XU32" s="12"/>
      <c r="XV32" s="12"/>
      <c r="XW32" s="12"/>
      <c r="XX32" s="12"/>
      <c r="XY32" s="12"/>
      <c r="XZ32" s="12"/>
      <c r="YA32" s="12"/>
      <c r="YB32" s="12"/>
      <c r="YC32" s="12"/>
      <c r="YD32" s="12"/>
      <c r="YE32" s="12"/>
      <c r="YF32" s="12"/>
      <c r="YG32" s="12"/>
      <c r="YH32" s="12"/>
      <c r="YI32" s="12"/>
      <c r="YJ32" s="12"/>
      <c r="YK32" s="12"/>
      <c r="YL32" s="12"/>
      <c r="YM32" s="12"/>
      <c r="YN32" s="12"/>
      <c r="YO32" s="12"/>
      <c r="YP32" s="12"/>
      <c r="YQ32" s="12"/>
      <c r="YR32" s="12"/>
      <c r="YS32" s="12"/>
      <c r="YT32" s="12"/>
      <c r="YU32" s="12"/>
      <c r="YV32" s="12"/>
      <c r="YW32" s="12"/>
      <c r="YX32" s="12"/>
      <c r="YY32" s="12"/>
      <c r="YZ32" s="12"/>
      <c r="ZA32" s="12"/>
      <c r="ZB32" s="12"/>
      <c r="ZC32" s="12"/>
      <c r="ZD32" s="12"/>
      <c r="ZE32" s="12"/>
      <c r="ZF32" s="12"/>
      <c r="ZG32" s="12"/>
      <c r="ZH32" s="12"/>
      <c r="ZI32" s="12"/>
      <c r="ZJ32" s="12"/>
      <c r="ZK32" s="12"/>
      <c r="ZL32" s="12"/>
      <c r="ZM32" s="12"/>
      <c r="ZN32" s="12"/>
      <c r="ZO32" s="12"/>
      <c r="ZP32" s="12"/>
      <c r="ZQ32" s="12"/>
      <c r="ZR32" s="12"/>
      <c r="ZS32" s="12"/>
      <c r="ZT32" s="12"/>
      <c r="ZU32" s="12"/>
      <c r="ZV32" s="12"/>
      <c r="ZW32" s="12"/>
      <c r="ZX32" s="12"/>
      <c r="ZY32" s="12"/>
      <c r="ZZ32" s="12"/>
      <c r="AAA32" s="12"/>
      <c r="AAB32" s="12"/>
      <c r="AAC32" s="12"/>
      <c r="AAD32" s="12"/>
      <c r="AAE32" s="12"/>
      <c r="AAF32" s="12"/>
      <c r="AAG32" s="12"/>
      <c r="AAH32" s="12"/>
      <c r="AAI32" s="12"/>
      <c r="AAJ32" s="12"/>
      <c r="AAK32" s="12"/>
      <c r="AAL32" s="12"/>
      <c r="AAM32" s="12"/>
      <c r="AAN32" s="12"/>
      <c r="AAO32" s="12"/>
      <c r="AAP32" s="12"/>
      <c r="AAQ32" s="12"/>
      <c r="AAR32" s="12"/>
      <c r="AAS32" s="12"/>
      <c r="AAT32" s="12"/>
      <c r="AAU32" s="12"/>
      <c r="AAV32" s="12"/>
      <c r="AAW32" s="12"/>
      <c r="AAX32" s="12"/>
      <c r="AAY32" s="12"/>
      <c r="AAZ32" s="12"/>
      <c r="ABA32" s="12"/>
      <c r="ABB32" s="12"/>
      <c r="ABC32" s="12"/>
      <c r="ABD32" s="12"/>
      <c r="ABE32" s="12"/>
      <c r="ABF32" s="12"/>
      <c r="ABG32" s="12"/>
      <c r="ABH32" s="12"/>
      <c r="ABI32" s="12"/>
      <c r="ABJ32" s="12"/>
      <c r="ABK32" s="12"/>
      <c r="ABL32" s="12"/>
      <c r="ABM32" s="12"/>
      <c r="ABN32" s="12"/>
      <c r="ABO32" s="12"/>
      <c r="ABP32" s="12"/>
      <c r="ABQ32" s="12"/>
      <c r="ABR32" s="12"/>
      <c r="ABS32" s="12"/>
      <c r="ABT32" s="12"/>
      <c r="ABU32" s="12"/>
      <c r="ABV32" s="12"/>
      <c r="ABW32" s="12"/>
      <c r="ABX32" s="12"/>
      <c r="ABY32" s="12"/>
      <c r="ABZ32" s="12"/>
      <c r="ACA32" s="12"/>
      <c r="ACB32" s="12"/>
      <c r="ACC32" s="12"/>
      <c r="ACD32" s="12"/>
      <c r="ACE32" s="12"/>
      <c r="ACF32" s="12"/>
      <c r="ACG32" s="12"/>
      <c r="ACH32" s="12"/>
      <c r="ACI32" s="12"/>
      <c r="ACJ32" s="12"/>
      <c r="ACK32" s="12"/>
      <c r="ACL32" s="12"/>
      <c r="ACM32" s="12"/>
      <c r="ACN32" s="12"/>
      <c r="ACO32" s="12"/>
      <c r="ACP32" s="12"/>
      <c r="ACQ32" s="12"/>
      <c r="ACR32" s="12"/>
      <c r="ACS32" s="12"/>
      <c r="ACT32" s="12"/>
      <c r="ACU32" s="12"/>
      <c r="ACV32" s="12"/>
      <c r="ACW32" s="12"/>
      <c r="ACX32" s="12"/>
      <c r="ACY32" s="12"/>
      <c r="ACZ32" s="12"/>
      <c r="ADA32" s="12"/>
      <c r="ADB32" s="12"/>
      <c r="ADC32" s="12"/>
      <c r="ADD32" s="12"/>
      <c r="ADE32" s="12"/>
      <c r="ADF32" s="12"/>
      <c r="ADG32" s="12"/>
      <c r="ADH32" s="12"/>
      <c r="ADI32" s="12"/>
      <c r="ADJ32" s="12"/>
      <c r="ADK32" s="12"/>
      <c r="ADL32" s="12"/>
      <c r="ADM32" s="12"/>
      <c r="ADN32" s="12"/>
      <c r="ADO32" s="12"/>
      <c r="ADP32" s="12"/>
      <c r="ADQ32" s="12"/>
      <c r="ADR32" s="12"/>
      <c r="ADS32" s="12"/>
      <c r="ADT32" s="12"/>
      <c r="ADU32" s="12"/>
      <c r="ADV32" s="12"/>
      <c r="ADW32" s="12"/>
      <c r="ADX32" s="12"/>
      <c r="ADY32" s="12"/>
      <c r="ADZ32" s="12"/>
      <c r="AEA32" s="12"/>
      <c r="AEB32" s="12"/>
      <c r="AEC32" s="12"/>
      <c r="AED32" s="12"/>
      <c r="AEE32" s="12"/>
      <c r="AEF32" s="12"/>
      <c r="AEG32" s="12"/>
      <c r="AEH32" s="12"/>
      <c r="AEI32" s="12"/>
      <c r="AEJ32" s="12"/>
      <c r="AEK32" s="12"/>
      <c r="AEL32" s="12"/>
      <c r="AEM32" s="12"/>
      <c r="AEN32" s="12"/>
      <c r="AEO32" s="12"/>
      <c r="AEP32" s="12"/>
      <c r="AEQ32" s="12"/>
      <c r="AER32" s="12"/>
      <c r="AES32" s="12"/>
      <c r="AET32" s="12"/>
      <c r="AEU32" s="12"/>
      <c r="AEV32" s="12"/>
      <c r="AEW32" s="12"/>
      <c r="AEX32" s="12"/>
      <c r="AEY32" s="12"/>
      <c r="AEZ32" s="12"/>
      <c r="AFA32" s="12"/>
      <c r="AFB32" s="12"/>
      <c r="AFC32" s="12"/>
      <c r="AFD32" s="12"/>
      <c r="AFE32" s="12"/>
      <c r="AFF32" s="12"/>
      <c r="AFG32" s="12"/>
      <c r="AFH32" s="12"/>
      <c r="AFI32" s="12"/>
      <c r="AFJ32" s="12"/>
      <c r="AFK32" s="12"/>
      <c r="AFL32" s="12"/>
      <c r="AFM32" s="12"/>
      <c r="AFN32" s="12"/>
      <c r="AFO32" s="12"/>
      <c r="AFP32" s="12"/>
      <c r="AFQ32" s="12"/>
      <c r="AFR32" s="12"/>
      <c r="AFS32" s="12"/>
      <c r="AFT32" s="12"/>
      <c r="AFU32" s="12"/>
      <c r="AFV32" s="12"/>
      <c r="AFW32" s="12"/>
      <c r="AFX32" s="12"/>
      <c r="AFY32" s="12"/>
      <c r="AFZ32" s="12"/>
      <c r="AGA32" s="12"/>
      <c r="AGB32" s="12"/>
      <c r="AGC32" s="12"/>
      <c r="AGD32" s="12"/>
      <c r="AGE32" s="12"/>
      <c r="AGF32" s="12"/>
      <c r="AGG32" s="12"/>
      <c r="AGH32" s="12"/>
      <c r="AGI32" s="12"/>
      <c r="AGJ32" s="12"/>
      <c r="AGK32" s="12"/>
      <c r="AGL32" s="12"/>
      <c r="AGM32" s="12"/>
      <c r="AGN32" s="12"/>
      <c r="AGO32" s="12"/>
      <c r="AGP32" s="12"/>
      <c r="AGQ32" s="12"/>
      <c r="AGR32" s="12"/>
      <c r="AGS32" s="12"/>
      <c r="AGT32" s="12"/>
      <c r="AGU32" s="12"/>
      <c r="AGV32" s="12"/>
      <c r="AGW32" s="12"/>
      <c r="AGX32" s="12"/>
      <c r="AGY32" s="12"/>
      <c r="AGZ32" s="12"/>
      <c r="AHA32" s="12"/>
      <c r="AHB32" s="12"/>
      <c r="AHC32" s="12"/>
      <c r="AHD32" s="12"/>
      <c r="AHE32" s="12"/>
      <c r="AHF32" s="12"/>
      <c r="AHG32" s="12"/>
      <c r="AHH32" s="12"/>
      <c r="AHI32" s="12"/>
      <c r="AHJ32" s="12"/>
      <c r="AHK32" s="12"/>
      <c r="AHL32" s="12"/>
      <c r="AHM32" s="12"/>
      <c r="AHN32" s="12"/>
      <c r="AHO32" s="12"/>
      <c r="AHP32" s="12"/>
      <c r="AHQ32" s="12"/>
      <c r="AHR32" s="12"/>
      <c r="AHS32" s="12"/>
      <c r="AHT32" s="12"/>
      <c r="AHU32" s="12"/>
      <c r="AHV32" s="12"/>
      <c r="AHW32" s="12"/>
      <c r="AHX32" s="12"/>
      <c r="AHY32" s="12"/>
      <c r="AHZ32" s="12"/>
      <c r="AIA32" s="12"/>
      <c r="AIB32" s="12"/>
      <c r="AIC32" s="12"/>
      <c r="AID32" s="12"/>
      <c r="AIE32" s="12"/>
      <c r="AIF32" s="12"/>
      <c r="AIG32" s="12"/>
      <c r="AIH32" s="12"/>
      <c r="AII32" s="12"/>
      <c r="AIJ32" s="12"/>
      <c r="AIK32" s="12"/>
      <c r="AIL32" s="12"/>
      <c r="AIM32" s="12"/>
      <c r="AIN32" s="12"/>
      <c r="AIO32" s="12"/>
      <c r="AIP32" s="12"/>
      <c r="AIQ32" s="12"/>
      <c r="AIR32" s="12"/>
      <c r="AIS32" s="12"/>
      <c r="AIT32" s="12"/>
      <c r="AIU32" s="12"/>
      <c r="AIV32" s="12"/>
      <c r="AIW32" s="12"/>
      <c r="AIX32" s="12"/>
      <c r="AIY32" s="12"/>
      <c r="AIZ32" s="12"/>
      <c r="AJA32" s="12"/>
      <c r="AJB32" s="12"/>
      <c r="AJC32" s="12"/>
      <c r="AJD32" s="12"/>
      <c r="AJE32" s="12"/>
      <c r="AJF32" s="12"/>
      <c r="AJG32" s="12"/>
      <c r="AJH32" s="12"/>
      <c r="AJI32" s="12"/>
      <c r="AJJ32" s="12"/>
      <c r="AJK32" s="12"/>
      <c r="AJL32" s="12"/>
      <c r="AJM32" s="12"/>
      <c r="AJN32" s="12"/>
      <c r="AJO32" s="12"/>
      <c r="AJP32" s="12"/>
      <c r="AJQ32" s="12"/>
      <c r="AJR32" s="12"/>
      <c r="AJS32" s="12"/>
      <c r="AJT32" s="12"/>
      <c r="AJU32" s="12"/>
      <c r="AJV32" s="12"/>
      <c r="AJW32" s="12"/>
      <c r="AJX32" s="12"/>
      <c r="AJY32" s="12"/>
      <c r="AJZ32" s="12"/>
      <c r="AKA32" s="12"/>
      <c r="AKB32" s="12"/>
      <c r="AKC32" s="12"/>
      <c r="AKD32" s="12"/>
      <c r="AKE32" s="12"/>
      <c r="AKF32" s="12"/>
      <c r="AKG32" s="12"/>
      <c r="AKH32" s="12"/>
      <c r="AKI32" s="12"/>
      <c r="AKJ32" s="12"/>
      <c r="AKK32" s="12"/>
      <c r="AKL32" s="12"/>
      <c r="AKM32" s="12"/>
      <c r="AKN32" s="12"/>
      <c r="AKO32" s="12"/>
      <c r="AKP32" s="12"/>
      <c r="AKQ32" s="12"/>
      <c r="AKR32" s="12"/>
      <c r="AKS32" s="12"/>
      <c r="AKT32" s="12"/>
      <c r="AKU32" s="12"/>
      <c r="AKV32" s="12"/>
      <c r="AKW32" s="12"/>
      <c r="AKX32" s="12"/>
      <c r="AKY32" s="12"/>
      <c r="AKZ32" s="12"/>
      <c r="ALA32" s="12"/>
      <c r="ALB32" s="12"/>
      <c r="ALC32" s="12"/>
      <c r="ALD32" s="12"/>
      <c r="ALE32" s="12"/>
      <c r="ALF32" s="12"/>
      <c r="ALG32" s="12"/>
      <c r="ALH32" s="12"/>
      <c r="ALI32" s="12"/>
      <c r="ALJ32" s="12"/>
      <c r="ALK32" s="12"/>
      <c r="ALL32" s="12"/>
      <c r="ALM32" s="12"/>
      <c r="ALN32" s="12"/>
      <c r="ALO32" s="12"/>
      <c r="ALP32" s="12"/>
      <c r="ALQ32" s="12"/>
      <c r="ALR32" s="12"/>
      <c r="ALS32" s="12"/>
      <c r="ALT32" s="12"/>
      <c r="ALU32" s="12"/>
      <c r="ALV32" s="12"/>
      <c r="ALW32" s="12"/>
      <c r="ALX32" s="12"/>
      <c r="ALY32" s="12"/>
      <c r="ALZ32" s="12"/>
      <c r="AMA32" s="12"/>
      <c r="AMB32" s="12"/>
      <c r="AMC32" s="12"/>
      <c r="AMD32" s="12"/>
      <c r="AME32" s="12"/>
      <c r="AMF32" s="12"/>
      <c r="AMG32" s="12"/>
      <c r="AMH32" s="12"/>
      <c r="AMI32" s="12"/>
      <c r="AMJ32" s="12"/>
      <c r="AMK32" s="12"/>
      <c r="AML32" s="12"/>
      <c r="AMM32" s="12"/>
      <c r="AMN32" s="12"/>
      <c r="AMO32" s="12"/>
      <c r="AMP32" s="12"/>
      <c r="AMQ32" s="12"/>
      <c r="AMR32" s="12"/>
      <c r="AMS32" s="12"/>
      <c r="AMT32" s="12"/>
      <c r="AMU32" s="12"/>
      <c r="AMV32" s="12"/>
      <c r="AMW32" s="12"/>
      <c r="AMX32" s="12"/>
      <c r="AMY32" s="12"/>
      <c r="AMZ32" s="12"/>
      <c r="ANA32" s="12"/>
      <c r="ANB32" s="12"/>
      <c r="ANC32" s="12"/>
      <c r="AND32" s="12"/>
      <c r="ANE32" s="12"/>
      <c r="ANF32" s="12"/>
      <c r="ANG32" s="12"/>
      <c r="ANH32" s="12"/>
      <c r="ANI32" s="12"/>
      <c r="ANJ32" s="12"/>
      <c r="ANK32" s="12"/>
      <c r="ANL32" s="12"/>
      <c r="ANM32" s="12"/>
      <c r="ANN32" s="12"/>
      <c r="ANO32" s="12"/>
      <c r="ANP32" s="12"/>
      <c r="ANQ32" s="12"/>
      <c r="ANR32" s="12"/>
      <c r="ANS32" s="12"/>
      <c r="ANT32" s="12"/>
      <c r="ANU32" s="12"/>
      <c r="ANV32" s="12"/>
      <c r="ANW32" s="12"/>
      <c r="ANX32" s="12"/>
      <c r="ANY32" s="12"/>
      <c r="ANZ32" s="12"/>
      <c r="AOA32" s="12"/>
      <c r="AOB32" s="12"/>
      <c r="AOC32" s="12"/>
      <c r="AOD32" s="12"/>
      <c r="AOE32" s="12"/>
      <c r="AOF32" s="12"/>
      <c r="AOG32" s="12"/>
      <c r="AOH32" s="12"/>
      <c r="AOI32" s="12"/>
      <c r="AOJ32" s="12"/>
      <c r="AOK32" s="12"/>
      <c r="AOL32" s="12"/>
      <c r="AOM32" s="12"/>
      <c r="AON32" s="12"/>
      <c r="AOO32" s="12"/>
      <c r="AOP32" s="12"/>
      <c r="AOQ32" s="12"/>
      <c r="AOR32" s="12"/>
      <c r="AOS32" s="12"/>
      <c r="AOT32" s="12"/>
      <c r="AOU32" s="12"/>
      <c r="AOV32" s="12"/>
      <c r="AOW32" s="12"/>
      <c r="AOX32" s="12"/>
      <c r="AOY32" s="12"/>
      <c r="AOZ32" s="12"/>
      <c r="APA32" s="12"/>
      <c r="APB32" s="12"/>
      <c r="APC32" s="12"/>
      <c r="APD32" s="12"/>
      <c r="APE32" s="12"/>
      <c r="APF32" s="12"/>
      <c r="APG32" s="12"/>
      <c r="APH32" s="12"/>
      <c r="API32" s="12"/>
      <c r="APJ32" s="12"/>
      <c r="APK32" s="12"/>
      <c r="APL32" s="12"/>
      <c r="APM32" s="12"/>
      <c r="APN32" s="12"/>
      <c r="APO32" s="12"/>
      <c r="APP32" s="12"/>
      <c r="APQ32" s="12"/>
      <c r="APR32" s="12"/>
      <c r="APS32" s="12"/>
      <c r="APT32" s="12"/>
      <c r="APU32" s="12"/>
      <c r="APV32" s="12"/>
      <c r="APW32" s="12"/>
      <c r="APX32" s="12"/>
      <c r="APY32" s="12"/>
      <c r="APZ32" s="12"/>
      <c r="AQA32" s="12"/>
      <c r="AQB32" s="12"/>
      <c r="AQC32" s="12"/>
      <c r="AQD32" s="12"/>
      <c r="AQE32" s="12"/>
      <c r="AQF32" s="12"/>
      <c r="AQG32" s="12"/>
      <c r="AQH32" s="12"/>
      <c r="AQI32" s="12"/>
      <c r="AQJ32" s="12"/>
      <c r="AQK32" s="12"/>
      <c r="AQL32" s="12"/>
      <c r="AQM32" s="12"/>
      <c r="AQN32" s="12"/>
      <c r="AQO32" s="12"/>
      <c r="AQP32" s="12"/>
      <c r="AQQ32" s="12"/>
      <c r="AQR32" s="12"/>
      <c r="AQS32" s="12"/>
      <c r="AQT32" s="12"/>
      <c r="AQU32" s="12"/>
      <c r="AQV32" s="12"/>
      <c r="AQW32" s="12"/>
      <c r="AQX32" s="12"/>
      <c r="AQY32" s="12"/>
      <c r="AQZ32" s="12"/>
      <c r="ARA32" s="12"/>
      <c r="ARB32" s="12"/>
      <c r="ARC32" s="12"/>
      <c r="ARD32" s="12"/>
      <c r="ARE32" s="12"/>
      <c r="ARF32" s="12"/>
      <c r="ARG32" s="12"/>
      <c r="ARH32" s="12"/>
      <c r="ARI32" s="12"/>
      <c r="ARJ32" s="12"/>
      <c r="ARK32" s="12"/>
      <c r="ARL32" s="12"/>
      <c r="ARM32" s="12"/>
      <c r="ARN32" s="12"/>
      <c r="ARO32" s="29"/>
    </row>
    <row r="33" spans="1:59" x14ac:dyDescent="0.25">
      <c r="A33" s="3" t="s">
        <v>277</v>
      </c>
      <c r="B33" s="3" t="s">
        <v>218</v>
      </c>
      <c r="C33" s="3" t="s">
        <v>219</v>
      </c>
      <c r="D33" s="23" t="s">
        <v>221</v>
      </c>
      <c r="E33" s="3" t="s">
        <v>220</v>
      </c>
      <c r="F33" s="24">
        <v>13.01</v>
      </c>
      <c r="G33" s="3">
        <v>2</v>
      </c>
      <c r="H33" s="3" t="s">
        <v>99</v>
      </c>
      <c r="I33" s="3" t="s">
        <v>123</v>
      </c>
      <c r="J33" s="24">
        <v>1.07</v>
      </c>
      <c r="K33" s="3"/>
      <c r="L33" s="3"/>
      <c r="M33" s="3"/>
      <c r="N33" s="3"/>
      <c r="O33" s="4">
        <v>45950</v>
      </c>
      <c r="P33" s="3">
        <v>41.201051999999997</v>
      </c>
      <c r="Q33" s="3">
        <v>-83.128901999999997</v>
      </c>
      <c r="R33" s="3">
        <v>41.202275999999998</v>
      </c>
      <c r="S33" s="3">
        <v>-83.127949999999998</v>
      </c>
      <c r="T33" s="3">
        <v>64.7</v>
      </c>
      <c r="U33" s="3">
        <v>31.4</v>
      </c>
      <c r="V33" s="24">
        <v>2.06</v>
      </c>
      <c r="W33" s="3">
        <v>15.2</v>
      </c>
      <c r="X33" s="3">
        <v>2.2000000000000002</v>
      </c>
      <c r="Y33" s="3">
        <v>0.4</v>
      </c>
      <c r="Z33" s="3" t="s">
        <v>101</v>
      </c>
      <c r="AA33" s="3">
        <v>690</v>
      </c>
      <c r="AB33" s="3">
        <f t="shared" si="0"/>
        <v>21666</v>
      </c>
      <c r="AC33" s="3" t="s">
        <v>102</v>
      </c>
      <c r="AD33" s="3" t="s">
        <v>109</v>
      </c>
      <c r="AE33" s="3" t="s">
        <v>103</v>
      </c>
      <c r="AF33" s="6">
        <v>41.200882999999997</v>
      </c>
      <c r="AG33" s="6">
        <v>-83.128932199999994</v>
      </c>
      <c r="AH33" s="6">
        <v>41.201751399999999</v>
      </c>
      <c r="AI33" s="6">
        <v>-83.128928500000001</v>
      </c>
      <c r="AJ33" s="3">
        <v>62</v>
      </c>
      <c r="AK33" s="15">
        <v>1.6</v>
      </c>
      <c r="AL33" s="15">
        <v>4.0999999999999996</v>
      </c>
      <c r="AM33" s="3">
        <v>19</v>
      </c>
      <c r="AN33" s="3">
        <v>2.6</v>
      </c>
      <c r="AO33" s="3">
        <v>2.2000000000000002</v>
      </c>
      <c r="AP33" s="3">
        <v>110</v>
      </c>
      <c r="AQ33" s="3">
        <v>197</v>
      </c>
      <c r="AR33" s="3">
        <v>29.39</v>
      </c>
      <c r="AS33" s="3">
        <v>29</v>
      </c>
      <c r="AT33" s="3">
        <v>28</v>
      </c>
      <c r="AU33" s="3">
        <v>48</v>
      </c>
      <c r="AV33" s="3">
        <v>16</v>
      </c>
      <c r="AW33" s="3">
        <v>337</v>
      </c>
      <c r="AX33" s="3">
        <f t="shared" si="1"/>
        <v>24</v>
      </c>
      <c r="AY33" s="3" t="s">
        <v>110</v>
      </c>
      <c r="AZ33" s="3" t="s">
        <v>105</v>
      </c>
      <c r="BA33" s="3">
        <v>12</v>
      </c>
      <c r="BB33" s="3">
        <v>27</v>
      </c>
      <c r="BC33" s="3" t="s">
        <v>16</v>
      </c>
      <c r="BD33" s="3" t="s">
        <v>18</v>
      </c>
      <c r="BE33" s="3" t="s">
        <v>18</v>
      </c>
      <c r="BF33" s="3" t="s">
        <v>18</v>
      </c>
      <c r="BG33" s="3" t="s">
        <v>16</v>
      </c>
    </row>
    <row r="34" spans="1:59" x14ac:dyDescent="0.25">
      <c r="A34" s="3" t="s">
        <v>278</v>
      </c>
      <c r="B34" s="3" t="s">
        <v>222</v>
      </c>
      <c r="C34" s="3" t="s">
        <v>219</v>
      </c>
      <c r="D34" s="23" t="s">
        <v>221</v>
      </c>
      <c r="E34" s="3" t="s">
        <v>220</v>
      </c>
      <c r="F34" s="24">
        <v>0.46</v>
      </c>
      <c r="G34" s="3">
        <v>1</v>
      </c>
      <c r="H34" s="3" t="s">
        <v>99</v>
      </c>
      <c r="I34" s="3" t="s">
        <v>100</v>
      </c>
      <c r="J34" s="24">
        <v>1.35</v>
      </c>
      <c r="K34" s="3"/>
      <c r="L34" s="3"/>
      <c r="M34" s="3"/>
      <c r="N34" s="3"/>
      <c r="O34" s="4">
        <v>45950</v>
      </c>
      <c r="P34" s="3">
        <v>41.197831999999998</v>
      </c>
      <c r="Q34" s="3">
        <v>-83.131095000000002</v>
      </c>
      <c r="R34" s="3">
        <v>41.198453000000001</v>
      </c>
      <c r="S34" s="3">
        <v>-83.131290000000007</v>
      </c>
      <c r="T34" s="3">
        <v>9.4</v>
      </c>
      <c r="U34" s="3">
        <v>12.1</v>
      </c>
      <c r="V34" s="24">
        <v>0.78</v>
      </c>
      <c r="W34" s="3">
        <v>15.5</v>
      </c>
      <c r="X34" s="3">
        <v>4.5999999999999996</v>
      </c>
      <c r="Y34" s="3">
        <v>0.5</v>
      </c>
      <c r="Z34" s="3" t="s">
        <v>101</v>
      </c>
      <c r="AA34" s="3">
        <v>359</v>
      </c>
      <c r="AB34" s="3">
        <f t="shared" si="0"/>
        <v>4344</v>
      </c>
      <c r="AC34" s="3" t="s">
        <v>146</v>
      </c>
      <c r="AD34" s="3" t="s">
        <v>103</v>
      </c>
      <c r="AE34" s="3" t="s">
        <v>103</v>
      </c>
      <c r="AF34" s="6">
        <v>41.197832200000001</v>
      </c>
      <c r="AG34" s="6">
        <v>-83.131094790000006</v>
      </c>
      <c r="AH34" s="6">
        <v>41.198401599999997</v>
      </c>
      <c r="AI34" s="6">
        <v>-83.131325200000006</v>
      </c>
      <c r="AJ34" s="3">
        <v>55</v>
      </c>
      <c r="AK34" s="15">
        <v>1.1000000000000001</v>
      </c>
      <c r="AL34" s="15">
        <v>4.3</v>
      </c>
      <c r="AM34" s="3">
        <v>50</v>
      </c>
      <c r="AN34" s="3">
        <v>5.0999999999999996</v>
      </c>
      <c r="AO34" s="3">
        <v>2.4</v>
      </c>
      <c r="AP34" s="3">
        <v>189</v>
      </c>
      <c r="AQ34" s="3">
        <v>126</v>
      </c>
      <c r="AR34" s="24">
        <v>26.5</v>
      </c>
      <c r="AS34" s="3">
        <v>12</v>
      </c>
      <c r="AT34" s="3">
        <v>21</v>
      </c>
      <c r="AU34" s="3">
        <v>69</v>
      </c>
      <c r="AV34" s="3">
        <v>2</v>
      </c>
      <c r="AW34" s="3">
        <v>199</v>
      </c>
      <c r="AX34" s="3">
        <f t="shared" si="1"/>
        <v>28</v>
      </c>
      <c r="AY34" s="3" t="s">
        <v>223</v>
      </c>
      <c r="AZ34" s="3" t="s">
        <v>105</v>
      </c>
      <c r="BA34" s="3">
        <v>17</v>
      </c>
      <c r="BB34" s="3">
        <v>54</v>
      </c>
      <c r="BC34" s="3" t="s">
        <v>16</v>
      </c>
      <c r="BD34" s="3" t="s">
        <v>16</v>
      </c>
      <c r="BE34" s="3" t="s">
        <v>18</v>
      </c>
      <c r="BF34" s="3" t="s">
        <v>16</v>
      </c>
      <c r="BG34" s="3" t="s">
        <v>16</v>
      </c>
    </row>
    <row r="35" spans="1:59" x14ac:dyDescent="0.25">
      <c r="A35" s="3" t="s">
        <v>279</v>
      </c>
      <c r="B35" s="3" t="s">
        <v>224</v>
      </c>
      <c r="C35" s="3" t="s">
        <v>219</v>
      </c>
      <c r="D35" s="23" t="s">
        <v>233</v>
      </c>
      <c r="E35" s="3" t="s">
        <v>234</v>
      </c>
      <c r="F35" s="24">
        <v>4.8</v>
      </c>
      <c r="G35" s="3">
        <v>2</v>
      </c>
      <c r="H35" s="3" t="s">
        <v>99</v>
      </c>
      <c r="I35" s="3" t="s">
        <v>100</v>
      </c>
      <c r="J35" s="24">
        <v>1.21</v>
      </c>
      <c r="K35" s="3"/>
      <c r="L35" s="3"/>
      <c r="M35" s="3"/>
      <c r="N35" s="3"/>
      <c r="O35" s="4">
        <v>45951</v>
      </c>
      <c r="P35" s="3">
        <v>41.285485999999999</v>
      </c>
      <c r="Q35" s="3">
        <v>-84.271338999999998</v>
      </c>
      <c r="R35" s="3">
        <v>41.286996000000002</v>
      </c>
      <c r="S35" s="3">
        <v>-84.270525000000006</v>
      </c>
      <c r="T35" s="3">
        <v>74.599999999999994</v>
      </c>
      <c r="U35" s="3">
        <v>30.2</v>
      </c>
      <c r="V35" s="24">
        <v>2.4700000000000002</v>
      </c>
      <c r="W35" s="3">
        <v>12.2</v>
      </c>
      <c r="X35" s="3">
        <v>3.7</v>
      </c>
      <c r="Y35" s="3">
        <v>0.3</v>
      </c>
      <c r="Z35" s="3" t="s">
        <v>101</v>
      </c>
      <c r="AA35" s="3">
        <v>716</v>
      </c>
      <c r="AB35" s="3">
        <f t="shared" si="0"/>
        <v>21623</v>
      </c>
      <c r="AC35" s="3" t="s">
        <v>146</v>
      </c>
      <c r="AD35" s="3" t="s">
        <v>103</v>
      </c>
      <c r="AE35" s="3" t="s">
        <v>103</v>
      </c>
      <c r="AF35" s="6">
        <v>41.286337099999997</v>
      </c>
      <c r="AG35" s="6">
        <v>-84.270914570000002</v>
      </c>
      <c r="AH35" s="6">
        <v>41.286995699999999</v>
      </c>
      <c r="AI35" s="6">
        <v>-84.270525160000005</v>
      </c>
      <c r="AJ35" s="3">
        <v>107</v>
      </c>
      <c r="AK35" s="15">
        <v>1</v>
      </c>
      <c r="AL35" s="15">
        <v>4</v>
      </c>
      <c r="AM35" s="3">
        <v>31</v>
      </c>
      <c r="AN35" s="3">
        <v>2.7</v>
      </c>
      <c r="AO35" s="3">
        <v>1.7</v>
      </c>
      <c r="AP35" s="3">
        <v>360</v>
      </c>
      <c r="AQ35" s="3">
        <v>460</v>
      </c>
      <c r="AR35" s="24">
        <v>31.1</v>
      </c>
      <c r="AS35" s="3">
        <v>25</v>
      </c>
      <c r="AT35" s="3">
        <v>23</v>
      </c>
      <c r="AU35" s="3">
        <v>67</v>
      </c>
      <c r="AV35" s="3">
        <v>2</v>
      </c>
      <c r="AW35" s="3">
        <v>420</v>
      </c>
      <c r="AX35" s="3">
        <f t="shared" si="1"/>
        <v>29</v>
      </c>
      <c r="AY35" s="3" t="s">
        <v>110</v>
      </c>
      <c r="AZ35" s="3" t="s">
        <v>105</v>
      </c>
      <c r="BA35" s="3">
        <v>15</v>
      </c>
      <c r="BB35" s="3">
        <v>34</v>
      </c>
      <c r="BC35" s="3" t="s">
        <v>16</v>
      </c>
      <c r="BD35" s="3" t="s">
        <v>16</v>
      </c>
      <c r="BE35" s="3" t="s">
        <v>18</v>
      </c>
      <c r="BF35" s="3" t="s">
        <v>16</v>
      </c>
      <c r="BG35" s="3" t="s">
        <v>16</v>
      </c>
    </row>
    <row r="36" spans="1:59" x14ac:dyDescent="0.25">
      <c r="A36" s="3" t="s">
        <v>280</v>
      </c>
      <c r="B36" s="3" t="s">
        <v>226</v>
      </c>
      <c r="C36" s="3" t="s">
        <v>219</v>
      </c>
      <c r="D36" s="23" t="s">
        <v>235</v>
      </c>
      <c r="E36" s="3" t="s">
        <v>234</v>
      </c>
      <c r="F36" s="24">
        <v>0.41</v>
      </c>
      <c r="G36" s="3">
        <v>1</v>
      </c>
      <c r="H36" s="3" t="s">
        <v>99</v>
      </c>
      <c r="I36" s="3" t="s">
        <v>100</v>
      </c>
      <c r="J36" s="24">
        <v>1.69</v>
      </c>
      <c r="K36" s="3"/>
      <c r="L36" s="3"/>
      <c r="M36" s="3"/>
      <c r="N36" s="3"/>
      <c r="O36" s="4">
        <v>45951</v>
      </c>
      <c r="P36" s="3">
        <v>41.253065999999997</v>
      </c>
      <c r="Q36" s="3">
        <v>-84.372297000000003</v>
      </c>
      <c r="R36" s="3">
        <v>41.253011999999998</v>
      </c>
      <c r="S36" s="3">
        <v>-84.373050000000006</v>
      </c>
      <c r="T36" s="3">
        <v>12.7</v>
      </c>
      <c r="U36" s="3">
        <v>14.8</v>
      </c>
      <c r="V36" s="24">
        <v>0.85</v>
      </c>
      <c r="W36" s="3">
        <v>17.399999999999999</v>
      </c>
      <c r="X36" s="3">
        <v>2.2000000000000002</v>
      </c>
      <c r="Y36" s="3">
        <v>0.5</v>
      </c>
      <c r="Z36" s="3" t="s">
        <v>108</v>
      </c>
      <c r="AA36" s="3">
        <v>361</v>
      </c>
      <c r="AB36" s="3">
        <f t="shared" si="0"/>
        <v>5343</v>
      </c>
      <c r="AC36" s="3" t="s">
        <v>146</v>
      </c>
      <c r="AD36" s="3" t="s">
        <v>103</v>
      </c>
      <c r="AE36" s="3" t="s">
        <v>103</v>
      </c>
      <c r="AF36" s="6">
        <v>41.253058500000002</v>
      </c>
      <c r="AG36" s="6">
        <v>-84.372318370000002</v>
      </c>
      <c r="AH36" s="6">
        <v>41.253011600000001</v>
      </c>
      <c r="AI36" s="6">
        <v>-84.373049699999996</v>
      </c>
      <c r="AJ36" s="3">
        <v>45</v>
      </c>
      <c r="AK36" s="15">
        <v>1.36</v>
      </c>
      <c r="AL36" s="15">
        <v>1.8</v>
      </c>
      <c r="AM36" s="3">
        <v>35</v>
      </c>
      <c r="AN36" s="3">
        <v>5.6</v>
      </c>
      <c r="AO36" s="3">
        <v>2.6</v>
      </c>
      <c r="AP36" s="3">
        <v>236</v>
      </c>
      <c r="AQ36" s="3">
        <v>464</v>
      </c>
      <c r="AR36" s="3">
        <v>25.99</v>
      </c>
      <c r="AS36" s="3">
        <v>8</v>
      </c>
      <c r="AT36" s="3">
        <v>18</v>
      </c>
      <c r="AU36" s="3">
        <v>57</v>
      </c>
      <c r="AV36" s="3">
        <v>0</v>
      </c>
      <c r="AW36" s="3">
        <v>265</v>
      </c>
      <c r="AX36" s="3">
        <f t="shared" si="1"/>
        <v>37</v>
      </c>
      <c r="AY36" s="3" t="s">
        <v>135</v>
      </c>
      <c r="AZ36" s="3" t="s">
        <v>105</v>
      </c>
      <c r="BA36" s="3">
        <v>11</v>
      </c>
      <c r="BB36" s="3">
        <v>26</v>
      </c>
      <c r="BC36" s="3" t="s">
        <v>16</v>
      </c>
      <c r="BD36" s="3" t="s">
        <v>18</v>
      </c>
      <c r="BE36" s="3" t="s">
        <v>18</v>
      </c>
      <c r="BF36" s="3" t="s">
        <v>16</v>
      </c>
      <c r="BG36" s="3" t="s">
        <v>16</v>
      </c>
    </row>
    <row r="37" spans="1:59" x14ac:dyDescent="0.25">
      <c r="A37" s="3" t="s">
        <v>281</v>
      </c>
      <c r="B37" s="3" t="s">
        <v>225</v>
      </c>
      <c r="C37" s="3" t="s">
        <v>219</v>
      </c>
      <c r="D37" s="23" t="s">
        <v>235</v>
      </c>
      <c r="E37" s="3" t="s">
        <v>234</v>
      </c>
      <c r="F37" s="24">
        <v>97.09</v>
      </c>
      <c r="G37" s="3">
        <v>3</v>
      </c>
      <c r="H37" s="3" t="s">
        <v>142</v>
      </c>
      <c r="I37" s="3" t="s">
        <v>123</v>
      </c>
      <c r="J37" s="24">
        <v>1.3</v>
      </c>
      <c r="K37" s="3"/>
      <c r="L37" s="3"/>
      <c r="M37" s="3"/>
      <c r="N37" s="3"/>
      <c r="O37" s="4">
        <v>45952</v>
      </c>
      <c r="P37" s="3">
        <v>41.249375000000001</v>
      </c>
      <c r="Q37" s="3">
        <v>-84.372394999999997</v>
      </c>
      <c r="R37" s="3">
        <v>41.251798999999998</v>
      </c>
      <c r="S37" s="3">
        <v>-84.373001000000002</v>
      </c>
      <c r="T37" s="3">
        <v>250.1</v>
      </c>
      <c r="U37" s="3">
        <v>59.4</v>
      </c>
      <c r="V37" s="24">
        <v>4.21</v>
      </c>
      <c r="W37" s="3">
        <v>14.1</v>
      </c>
      <c r="X37" s="3">
        <v>5.7</v>
      </c>
      <c r="Y37" s="3">
        <v>0.3</v>
      </c>
      <c r="Z37" s="3" t="s">
        <v>101</v>
      </c>
      <c r="AA37" s="3">
        <v>1253</v>
      </c>
      <c r="AB37" s="3">
        <f t="shared" si="0"/>
        <v>74428</v>
      </c>
      <c r="AC37" s="3" t="s">
        <v>102</v>
      </c>
      <c r="AD37" s="3" t="s">
        <v>103</v>
      </c>
      <c r="AE37" s="3" t="s">
        <v>103</v>
      </c>
      <c r="AF37" s="6">
        <v>41.249713999999997</v>
      </c>
      <c r="AG37" s="6">
        <v>-84.372035240000002</v>
      </c>
      <c r="AH37" s="6">
        <v>41.2501259</v>
      </c>
      <c r="AI37" s="6">
        <v>-84.371769020000002</v>
      </c>
      <c r="AJ37" s="3">
        <v>44</v>
      </c>
      <c r="AK37" s="15">
        <v>1</v>
      </c>
      <c r="AL37" s="15">
        <v>6.8</v>
      </c>
      <c r="AM37" s="3">
        <v>48</v>
      </c>
      <c r="AN37" s="3">
        <v>2.2999999999999998</v>
      </c>
      <c r="AO37" s="3">
        <v>1.4</v>
      </c>
      <c r="AP37" s="3">
        <v>377</v>
      </c>
      <c r="AQ37" s="3">
        <v>316</v>
      </c>
      <c r="AR37" s="3">
        <v>23.23</v>
      </c>
      <c r="AS37" s="3">
        <v>50</v>
      </c>
      <c r="AT37" s="3">
        <v>18</v>
      </c>
      <c r="AU37" s="3">
        <v>73</v>
      </c>
      <c r="AV37" s="3">
        <v>7</v>
      </c>
      <c r="AW37" s="3">
        <v>576</v>
      </c>
      <c r="AX37" s="3">
        <f t="shared" si="1"/>
        <v>23</v>
      </c>
      <c r="AY37" s="3" t="s">
        <v>117</v>
      </c>
      <c r="AZ37" s="3" t="s">
        <v>105</v>
      </c>
      <c r="BA37" s="3">
        <v>45</v>
      </c>
      <c r="BB37" s="3">
        <v>97</v>
      </c>
      <c r="BC37" s="3" t="s">
        <v>16</v>
      </c>
      <c r="BD37" s="3" t="s">
        <v>16</v>
      </c>
      <c r="BE37" s="3" t="s">
        <v>16</v>
      </c>
      <c r="BF37" s="3" t="s">
        <v>16</v>
      </c>
      <c r="BG37" s="3" t="s">
        <v>16</v>
      </c>
    </row>
    <row r="38" spans="1:59" x14ac:dyDescent="0.25">
      <c r="A38" s="3" t="s">
        <v>282</v>
      </c>
      <c r="B38" s="3" t="s">
        <v>227</v>
      </c>
      <c r="C38" s="3" t="s">
        <v>219</v>
      </c>
      <c r="D38" s="23" t="s">
        <v>235</v>
      </c>
      <c r="E38" s="3" t="s">
        <v>234</v>
      </c>
      <c r="F38" s="24">
        <v>0.51</v>
      </c>
      <c r="G38" s="3">
        <v>1</v>
      </c>
      <c r="H38" s="3" t="s">
        <v>99</v>
      </c>
      <c r="I38" s="3" t="s">
        <v>123</v>
      </c>
      <c r="J38" s="24">
        <v>1.3</v>
      </c>
      <c r="K38" s="3"/>
      <c r="L38" s="3"/>
      <c r="M38" s="3"/>
      <c r="N38" s="3"/>
      <c r="O38" s="4">
        <v>45952</v>
      </c>
      <c r="P38" s="3">
        <v>41.247332</v>
      </c>
      <c r="Q38" s="3">
        <v>-84.371269999999996</v>
      </c>
      <c r="R38" s="3">
        <v>41.247056000000001</v>
      </c>
      <c r="S38" s="3">
        <v>-84.372048000000007</v>
      </c>
      <c r="T38" s="3">
        <v>10.5</v>
      </c>
      <c r="U38" s="3">
        <v>11.3</v>
      </c>
      <c r="V38" s="24">
        <v>0.93</v>
      </c>
      <c r="W38" s="3">
        <v>12.1</v>
      </c>
      <c r="X38" s="3">
        <v>2.5</v>
      </c>
      <c r="Y38" s="3">
        <v>0.4</v>
      </c>
      <c r="Z38" s="3" t="s">
        <v>101</v>
      </c>
      <c r="AA38" s="3">
        <v>329</v>
      </c>
      <c r="AB38" s="3">
        <f t="shared" si="0"/>
        <v>3718</v>
      </c>
      <c r="AC38" s="3" t="s">
        <v>146</v>
      </c>
      <c r="AD38" s="3" t="s">
        <v>103</v>
      </c>
      <c r="AE38" s="3" t="s">
        <v>103</v>
      </c>
      <c r="AF38" s="6">
        <v>41.247331600000003</v>
      </c>
      <c r="AG38" s="6">
        <v>-84.371270260000003</v>
      </c>
      <c r="AH38" s="6">
        <v>41.247056399999998</v>
      </c>
      <c r="AI38" s="6">
        <v>-84.372048100000001</v>
      </c>
      <c r="AJ38" s="3">
        <v>27</v>
      </c>
      <c r="AK38" s="15">
        <v>1</v>
      </c>
      <c r="AL38" s="15">
        <v>2.2000000000000002</v>
      </c>
      <c r="AM38" s="3">
        <v>20</v>
      </c>
      <c r="AN38" s="3">
        <v>6.3</v>
      </c>
      <c r="AO38" s="3">
        <v>2.1</v>
      </c>
      <c r="AP38" s="3">
        <v>210</v>
      </c>
      <c r="AQ38" s="3">
        <v>122</v>
      </c>
      <c r="AR38" s="3">
        <v>30.24</v>
      </c>
      <c r="AS38" s="3">
        <v>15</v>
      </c>
      <c r="AT38" s="3">
        <v>1</v>
      </c>
      <c r="AU38" s="3">
        <v>69</v>
      </c>
      <c r="AV38" s="3">
        <v>2</v>
      </c>
      <c r="AW38" s="3">
        <v>244</v>
      </c>
      <c r="AX38" s="3">
        <f t="shared" si="1"/>
        <v>37</v>
      </c>
      <c r="AY38" s="3" t="s">
        <v>228</v>
      </c>
      <c r="AZ38" s="3" t="s">
        <v>105</v>
      </c>
      <c r="BA38" s="3">
        <v>3</v>
      </c>
      <c r="BB38" s="3">
        <v>9</v>
      </c>
      <c r="BC38" s="3" t="s">
        <v>16</v>
      </c>
      <c r="BD38" s="3" t="s">
        <v>16</v>
      </c>
      <c r="BE38" s="3" t="s">
        <v>18</v>
      </c>
      <c r="BF38" s="3" t="s">
        <v>18</v>
      </c>
      <c r="BG38" s="3" t="s">
        <v>16</v>
      </c>
    </row>
    <row r="39" spans="1:59" x14ac:dyDescent="0.25">
      <c r="A39" s="3" t="s">
        <v>283</v>
      </c>
      <c r="B39" s="3" t="s">
        <v>229</v>
      </c>
      <c r="C39" s="3" t="s">
        <v>219</v>
      </c>
      <c r="D39" s="23" t="s">
        <v>236</v>
      </c>
      <c r="E39" s="3" t="s">
        <v>237</v>
      </c>
      <c r="F39" s="24">
        <v>27.42</v>
      </c>
      <c r="G39" s="3">
        <v>3</v>
      </c>
      <c r="H39" s="3" t="s">
        <v>99</v>
      </c>
      <c r="I39" s="3" t="s">
        <v>123</v>
      </c>
      <c r="J39" s="24">
        <v>1.35</v>
      </c>
      <c r="K39" s="3"/>
      <c r="L39" s="3"/>
      <c r="M39" s="3"/>
      <c r="N39" s="3"/>
      <c r="O39" s="4">
        <v>45953</v>
      </c>
      <c r="P39" s="3">
        <v>41.229581000000003</v>
      </c>
      <c r="Q39" s="3">
        <v>-84.660959000000005</v>
      </c>
      <c r="R39" s="3">
        <v>41.227929000000003</v>
      </c>
      <c r="S39" s="3">
        <v>-84.660070000000005</v>
      </c>
      <c r="T39" s="3">
        <v>138.69999999999999</v>
      </c>
      <c r="U39" s="3">
        <v>37.5</v>
      </c>
      <c r="V39" s="24">
        <v>3.69</v>
      </c>
      <c r="W39" s="3">
        <v>10.199999999999999</v>
      </c>
      <c r="X39" s="16">
        <v>8</v>
      </c>
      <c r="Y39" s="3">
        <v>0.16</v>
      </c>
      <c r="Z39" s="3" t="s">
        <v>124</v>
      </c>
      <c r="AA39" s="3">
        <v>880</v>
      </c>
      <c r="AB39" s="3">
        <f t="shared" si="0"/>
        <v>33000</v>
      </c>
      <c r="AC39" s="3" t="s">
        <v>102</v>
      </c>
      <c r="AD39" s="3" t="s">
        <v>103</v>
      </c>
      <c r="AE39" s="3" t="s">
        <v>103</v>
      </c>
      <c r="AF39" s="6">
        <v>41.2291192</v>
      </c>
      <c r="AG39" s="6">
        <v>-84.661118799999997</v>
      </c>
      <c r="AH39" s="6">
        <v>41.228589700000001</v>
      </c>
      <c r="AI39" s="6">
        <v>-84.660781830000005</v>
      </c>
      <c r="AJ39" s="3">
        <v>86</v>
      </c>
      <c r="AK39" s="15">
        <v>1.07</v>
      </c>
      <c r="AL39" s="15">
        <v>8.9</v>
      </c>
      <c r="AM39" s="3">
        <v>13</v>
      </c>
      <c r="AN39" s="3">
        <v>4.7</v>
      </c>
      <c r="AO39" s="3">
        <v>1.6</v>
      </c>
      <c r="AP39" s="3">
        <v>309</v>
      </c>
      <c r="AQ39" s="3">
        <v>267</v>
      </c>
      <c r="AR39" s="3">
        <v>31.12</v>
      </c>
      <c r="AS39" s="3">
        <v>12</v>
      </c>
      <c r="AT39" s="3">
        <v>44</v>
      </c>
      <c r="AU39" s="3">
        <v>54</v>
      </c>
      <c r="AV39" s="3">
        <v>1</v>
      </c>
      <c r="AW39" s="3">
        <v>338</v>
      </c>
      <c r="AX39" s="3">
        <f t="shared" si="1"/>
        <v>19</v>
      </c>
      <c r="AY39" s="3" t="s">
        <v>104</v>
      </c>
      <c r="AZ39" s="3" t="s">
        <v>105</v>
      </c>
      <c r="BA39" s="3">
        <v>16</v>
      </c>
      <c r="BB39" s="3">
        <v>49</v>
      </c>
      <c r="BC39" s="3" t="s">
        <v>16</v>
      </c>
      <c r="BD39" s="3" t="s">
        <v>16</v>
      </c>
      <c r="BE39" s="3" t="s">
        <v>16</v>
      </c>
      <c r="BF39" s="3" t="s">
        <v>18</v>
      </c>
      <c r="BG39" s="3" t="s">
        <v>16</v>
      </c>
    </row>
    <row r="40" spans="1:59" x14ac:dyDescent="0.25">
      <c r="A40" s="3" t="s">
        <v>284</v>
      </c>
      <c r="B40" s="3" t="s">
        <v>230</v>
      </c>
      <c r="C40" s="3" t="s">
        <v>219</v>
      </c>
      <c r="D40" s="23" t="s">
        <v>238</v>
      </c>
      <c r="E40" s="3" t="s">
        <v>239</v>
      </c>
      <c r="F40" s="24">
        <v>40.47</v>
      </c>
      <c r="G40" s="3">
        <v>3</v>
      </c>
      <c r="H40" s="3" t="s">
        <v>99</v>
      </c>
      <c r="I40" s="3" t="s">
        <v>123</v>
      </c>
      <c r="J40" s="24">
        <v>1.06</v>
      </c>
      <c r="K40" s="3"/>
      <c r="L40" s="3"/>
      <c r="M40" s="3"/>
      <c r="N40" s="3"/>
      <c r="O40" s="4">
        <v>45954</v>
      </c>
      <c r="P40" s="3">
        <v>41.605730999999999</v>
      </c>
      <c r="Q40" s="3">
        <v>-84.314779000000001</v>
      </c>
      <c r="R40" s="3">
        <v>41.603476000000001</v>
      </c>
      <c r="S40" s="3">
        <v>-84.313543999999993</v>
      </c>
      <c r="T40" s="15">
        <v>216</v>
      </c>
      <c r="U40" s="3">
        <v>44.1</v>
      </c>
      <c r="V40" s="24">
        <v>4.9000000000000004</v>
      </c>
      <c r="W40" s="15">
        <v>9</v>
      </c>
      <c r="X40" s="15">
        <v>34</v>
      </c>
      <c r="Y40" s="3">
        <v>0.04</v>
      </c>
      <c r="Z40" s="3" t="s">
        <v>231</v>
      </c>
      <c r="AA40" s="3">
        <v>939</v>
      </c>
      <c r="AB40" s="3">
        <f t="shared" si="0"/>
        <v>41410</v>
      </c>
      <c r="AC40" s="3" t="s">
        <v>102</v>
      </c>
      <c r="AD40" s="3" t="s">
        <v>103</v>
      </c>
      <c r="AE40" s="3" t="s">
        <v>103</v>
      </c>
      <c r="AF40" s="6">
        <v>41.605476799999998</v>
      </c>
      <c r="AG40" s="6">
        <v>-84.314711560000006</v>
      </c>
      <c r="AH40" s="6">
        <v>41.604737499999999</v>
      </c>
      <c r="AI40" s="6">
        <v>-84.314361070000004</v>
      </c>
      <c r="AJ40" s="3">
        <v>133</v>
      </c>
      <c r="AK40" s="15">
        <v>1</v>
      </c>
      <c r="AL40" s="15">
        <v>29.8</v>
      </c>
      <c r="AM40" s="3">
        <v>10</v>
      </c>
      <c r="AN40" s="3">
        <v>11.1</v>
      </c>
      <c r="AO40" s="3">
        <v>1.5</v>
      </c>
      <c r="AP40" s="3">
        <v>425</v>
      </c>
      <c r="AQ40" s="3">
        <v>640</v>
      </c>
      <c r="AR40" s="3">
        <v>29.18</v>
      </c>
      <c r="AS40" s="3">
        <v>52</v>
      </c>
      <c r="AT40" s="3">
        <v>21</v>
      </c>
      <c r="AU40" s="3">
        <v>73</v>
      </c>
      <c r="AV40" s="3">
        <v>2</v>
      </c>
      <c r="AW40" s="3">
        <v>130</v>
      </c>
      <c r="AX40" s="3">
        <f t="shared" si="1"/>
        <v>7</v>
      </c>
      <c r="AY40" s="3" t="s">
        <v>104</v>
      </c>
      <c r="AZ40" s="3" t="s">
        <v>232</v>
      </c>
      <c r="BA40" s="3" t="s">
        <v>112</v>
      </c>
      <c r="BB40" s="3" t="s">
        <v>112</v>
      </c>
      <c r="BC40" s="3" t="s">
        <v>18</v>
      </c>
      <c r="BD40" s="3" t="s">
        <v>18</v>
      </c>
      <c r="BE40" s="3" t="s">
        <v>16</v>
      </c>
      <c r="BF40" s="3" t="s">
        <v>26</v>
      </c>
      <c r="BG40" s="3" t="s">
        <v>18</v>
      </c>
    </row>
    <row r="41" spans="1:59" x14ac:dyDescent="0.25">
      <c r="F41" s="5"/>
      <c r="H41" s="5"/>
      <c r="K41" s="5"/>
      <c r="L41" s="5"/>
      <c r="M41" s="5"/>
      <c r="N41" s="5"/>
    </row>
    <row r="42" spans="1:59" x14ac:dyDescent="0.25">
      <c r="F42" s="5"/>
      <c r="H42" s="5"/>
      <c r="K42" s="5"/>
      <c r="L42" s="5"/>
      <c r="M42" s="5"/>
      <c r="N42" s="5"/>
    </row>
    <row r="43" spans="1:59" x14ac:dyDescent="0.25">
      <c r="F43" s="5"/>
      <c r="H43" s="5"/>
      <c r="K43" s="5"/>
      <c r="L43" s="5"/>
      <c r="M43" s="5"/>
      <c r="N43" s="5"/>
    </row>
    <row r="44" spans="1:59" x14ac:dyDescent="0.25">
      <c r="F44" s="5"/>
      <c r="H44" s="5"/>
      <c r="K44" s="5"/>
      <c r="L44" s="5"/>
      <c r="M44" s="5"/>
      <c r="N44" s="5"/>
    </row>
    <row r="45" spans="1:59" x14ac:dyDescent="0.25">
      <c r="F45" s="5"/>
      <c r="H45" s="5"/>
      <c r="K45" s="5"/>
      <c r="L45" s="5"/>
      <c r="M45" s="5"/>
      <c r="N45" s="5"/>
    </row>
    <row r="46" spans="1:59" x14ac:dyDescent="0.25">
      <c r="F46" s="5"/>
      <c r="H46" s="5"/>
      <c r="K46" s="5"/>
      <c r="L46" s="5"/>
      <c r="M46" s="5"/>
      <c r="N46" s="5"/>
    </row>
    <row r="47" spans="1:59" x14ac:dyDescent="0.25">
      <c r="F47" s="5"/>
      <c r="H47" s="5"/>
      <c r="K47" s="5"/>
      <c r="L47" s="5"/>
      <c r="M47" s="5"/>
      <c r="N47" s="5"/>
    </row>
    <row r="48" spans="1:59" x14ac:dyDescent="0.25">
      <c r="F48" s="5"/>
      <c r="H48" s="5"/>
      <c r="K48" s="5"/>
      <c r="L48" s="5"/>
      <c r="M48" s="5"/>
      <c r="N48" s="5"/>
    </row>
    <row r="49" spans="6:14" x14ac:dyDescent="0.25">
      <c r="F49" s="5"/>
      <c r="H49" s="5"/>
      <c r="K49" s="5"/>
      <c r="L49" s="5"/>
      <c r="M49" s="5"/>
      <c r="N49" s="5"/>
    </row>
    <row r="50" spans="6:14" x14ac:dyDescent="0.25">
      <c r="F50" s="5"/>
      <c r="H50" s="5"/>
      <c r="K50" s="5"/>
      <c r="L50" s="5"/>
      <c r="M50" s="5"/>
      <c r="N50" s="5"/>
    </row>
    <row r="51" spans="6:14" x14ac:dyDescent="0.25">
      <c r="F51" s="5"/>
      <c r="H51" s="5"/>
      <c r="K51" s="5"/>
      <c r="L51" s="5"/>
      <c r="M51" s="5"/>
      <c r="N51" s="5"/>
    </row>
    <row r="52" spans="6:14" x14ac:dyDescent="0.25">
      <c r="F52" s="5"/>
      <c r="H52" s="5"/>
      <c r="K52" s="5"/>
      <c r="L52" s="5"/>
      <c r="M52" s="5"/>
      <c r="N52" s="5"/>
    </row>
    <row r="53" spans="6:14" x14ac:dyDescent="0.25">
      <c r="F53" s="5"/>
      <c r="H53" s="5"/>
      <c r="K53" s="5"/>
      <c r="L53" s="5"/>
      <c r="M53" s="5"/>
      <c r="N53" s="5"/>
    </row>
    <row r="54" spans="6:14" x14ac:dyDescent="0.25">
      <c r="F54" s="5"/>
      <c r="H54" s="5"/>
      <c r="K54" s="5"/>
      <c r="L54" s="5"/>
      <c r="M54" s="5"/>
      <c r="N54" s="5"/>
    </row>
    <row r="55" spans="6:14" x14ac:dyDescent="0.25">
      <c r="F55" s="5"/>
      <c r="H55" s="5"/>
      <c r="K55" s="5"/>
      <c r="L55" s="5"/>
      <c r="M55" s="5"/>
      <c r="N55" s="5"/>
    </row>
    <row r="56" spans="6:14" x14ac:dyDescent="0.25">
      <c r="F56" s="5"/>
      <c r="H56" s="5"/>
      <c r="K56" s="5"/>
      <c r="L56" s="5"/>
      <c r="M56" s="5"/>
      <c r="N56" s="5"/>
    </row>
    <row r="57" spans="6:14" x14ac:dyDescent="0.25">
      <c r="F57" s="5"/>
      <c r="H57" s="5"/>
      <c r="K57" s="5"/>
      <c r="L57" s="5"/>
      <c r="M57" s="5"/>
      <c r="N57" s="5"/>
    </row>
    <row r="58" spans="6:14" x14ac:dyDescent="0.25">
      <c r="F58" s="5"/>
      <c r="H58" s="5"/>
      <c r="K58" s="5"/>
      <c r="L58" s="5"/>
      <c r="M58" s="5"/>
      <c r="N58" s="5"/>
    </row>
    <row r="59" spans="6:14" x14ac:dyDescent="0.25">
      <c r="F59" s="5"/>
      <c r="H59" s="5"/>
      <c r="K59" s="5"/>
      <c r="L59" s="5"/>
      <c r="M59" s="5"/>
      <c r="N59" s="5"/>
    </row>
    <row r="60" spans="6:14" x14ac:dyDescent="0.25">
      <c r="F60" s="5"/>
      <c r="H60" s="5"/>
      <c r="K60" s="5"/>
      <c r="L60" s="5"/>
      <c r="M60" s="5"/>
      <c r="N60" s="5"/>
    </row>
    <row r="61" spans="6:14" x14ac:dyDescent="0.25">
      <c r="F61" s="5"/>
      <c r="H61" s="5"/>
      <c r="K61" s="5"/>
      <c r="L61" s="5"/>
      <c r="M61" s="5"/>
      <c r="N61" s="5"/>
    </row>
    <row r="62" spans="6:14" x14ac:dyDescent="0.25">
      <c r="F62" s="5"/>
      <c r="H62" s="5"/>
      <c r="K62" s="5"/>
      <c r="L62" s="5"/>
      <c r="M62" s="5"/>
      <c r="N62" s="5"/>
    </row>
    <row r="63" spans="6:14" x14ac:dyDescent="0.25">
      <c r="F63" s="5"/>
      <c r="H63" s="5"/>
      <c r="K63" s="5"/>
      <c r="L63" s="5"/>
      <c r="M63" s="5"/>
      <c r="N63" s="5"/>
    </row>
    <row r="64" spans="6:14" x14ac:dyDescent="0.25">
      <c r="F64" s="5"/>
      <c r="H64" s="5"/>
      <c r="K64" s="5"/>
      <c r="L64" s="5"/>
      <c r="M64" s="5"/>
      <c r="N64" s="5"/>
    </row>
    <row r="65" spans="6:14" x14ac:dyDescent="0.25">
      <c r="F65" s="5"/>
      <c r="H65" s="5"/>
      <c r="K65" s="5"/>
      <c r="L65" s="5"/>
      <c r="M65" s="5"/>
      <c r="N65" s="5"/>
    </row>
    <row r="66" spans="6:14" x14ac:dyDescent="0.25">
      <c r="F66" s="5"/>
      <c r="H66" s="5"/>
      <c r="K66" s="5"/>
      <c r="L66" s="5"/>
      <c r="M66" s="5"/>
      <c r="N66" s="5"/>
    </row>
    <row r="67" spans="6:14" x14ac:dyDescent="0.25">
      <c r="F67" s="5"/>
      <c r="H67" s="5"/>
      <c r="K67" s="5"/>
      <c r="L67" s="5"/>
      <c r="M67" s="5"/>
      <c r="N67" s="5"/>
    </row>
    <row r="68" spans="6:14" x14ac:dyDescent="0.25">
      <c r="F68" s="5"/>
      <c r="H68" s="5"/>
      <c r="K68" s="5"/>
      <c r="L68" s="5"/>
      <c r="M68" s="5"/>
      <c r="N68" s="5"/>
    </row>
    <row r="69" spans="6:14" x14ac:dyDescent="0.25">
      <c r="F69" s="5"/>
      <c r="H69" s="5"/>
      <c r="K69" s="5"/>
      <c r="L69" s="5"/>
      <c r="M69" s="5"/>
      <c r="N69" s="5"/>
    </row>
    <row r="70" spans="6:14" x14ac:dyDescent="0.25">
      <c r="F70" s="5"/>
      <c r="H70" s="5"/>
      <c r="K70" s="5"/>
      <c r="L70" s="5"/>
      <c r="M70" s="5"/>
      <c r="N70" s="5"/>
    </row>
    <row r="71" spans="6:14" x14ac:dyDescent="0.25">
      <c r="F71" s="5"/>
      <c r="H71" s="5"/>
      <c r="K71" s="5"/>
      <c r="L71" s="5"/>
      <c r="M71" s="5"/>
      <c r="N71" s="5"/>
    </row>
    <row r="72" spans="6:14" x14ac:dyDescent="0.25">
      <c r="F72" s="5"/>
      <c r="H72" s="5"/>
      <c r="K72" s="5"/>
      <c r="L72" s="5"/>
      <c r="M72" s="5"/>
      <c r="N72" s="5"/>
    </row>
    <row r="73" spans="6:14" x14ac:dyDescent="0.25">
      <c r="F73" s="5"/>
      <c r="H73" s="5"/>
      <c r="K73" s="5"/>
      <c r="L73" s="5"/>
      <c r="M73" s="5"/>
      <c r="N73" s="5"/>
    </row>
    <row r="74" spans="6:14" x14ac:dyDescent="0.25">
      <c r="F74" s="5"/>
      <c r="H74" s="5"/>
      <c r="K74" s="5"/>
      <c r="L74" s="5"/>
      <c r="M74" s="5"/>
      <c r="N74" s="5"/>
    </row>
    <row r="75" spans="6:14" x14ac:dyDescent="0.25">
      <c r="F75" s="5"/>
      <c r="H75" s="5"/>
      <c r="K75" s="5"/>
      <c r="L75" s="5"/>
      <c r="M75" s="5"/>
      <c r="N75" s="5"/>
    </row>
    <row r="76" spans="6:14" x14ac:dyDescent="0.25">
      <c r="F76" s="5"/>
      <c r="H76" s="5"/>
      <c r="K76" s="5"/>
      <c r="L76" s="5"/>
      <c r="M76" s="5"/>
      <c r="N76" s="5"/>
    </row>
    <row r="77" spans="6:14" x14ac:dyDescent="0.25">
      <c r="F77" s="5"/>
      <c r="H77" s="5"/>
      <c r="K77" s="5"/>
      <c r="L77" s="5"/>
      <c r="M77" s="5"/>
      <c r="N77" s="5"/>
    </row>
    <row r="78" spans="6:14" x14ac:dyDescent="0.25">
      <c r="F78" s="5"/>
      <c r="H78" s="5"/>
      <c r="K78" s="5"/>
      <c r="L78" s="5"/>
      <c r="M78" s="5"/>
      <c r="N78" s="5"/>
    </row>
    <row r="79" spans="6:14" x14ac:dyDescent="0.25">
      <c r="F79" s="5"/>
      <c r="H79" s="5"/>
      <c r="K79" s="5"/>
      <c r="L79" s="5"/>
      <c r="M79" s="5"/>
      <c r="N79" s="5"/>
    </row>
    <row r="80" spans="6:14" x14ac:dyDescent="0.25">
      <c r="F80" s="5"/>
      <c r="H80" s="5"/>
      <c r="K80" s="5"/>
      <c r="L80" s="5"/>
      <c r="M80" s="5"/>
      <c r="N80" s="5"/>
    </row>
    <row r="81" spans="6:14" x14ac:dyDescent="0.25">
      <c r="F81" s="5"/>
      <c r="H81" s="5"/>
      <c r="K81" s="5"/>
      <c r="L81" s="5"/>
      <c r="M81" s="5"/>
      <c r="N81" s="5"/>
    </row>
    <row r="82" spans="6:14" x14ac:dyDescent="0.25">
      <c r="F82" s="5"/>
      <c r="H82" s="5"/>
      <c r="K82" s="5"/>
      <c r="L82" s="5"/>
      <c r="M82" s="5"/>
      <c r="N82" s="5"/>
    </row>
    <row r="83" spans="6:14" x14ac:dyDescent="0.25">
      <c r="F83" s="5"/>
      <c r="H83" s="5"/>
      <c r="K83" s="5"/>
      <c r="L83" s="5"/>
      <c r="M83" s="5"/>
      <c r="N83" s="5"/>
    </row>
    <row r="84" spans="6:14" x14ac:dyDescent="0.25">
      <c r="F84" s="5"/>
      <c r="H84" s="5"/>
      <c r="K84" s="5"/>
      <c r="L84" s="5"/>
      <c r="M84" s="5"/>
      <c r="N84" s="5"/>
    </row>
    <row r="85" spans="6:14" x14ac:dyDescent="0.25">
      <c r="F85" s="5"/>
      <c r="H85" s="5"/>
      <c r="K85" s="5"/>
      <c r="L85" s="5"/>
      <c r="M85" s="5"/>
      <c r="N85" s="5"/>
    </row>
    <row r="86" spans="6:14" x14ac:dyDescent="0.25">
      <c r="F86" s="5"/>
      <c r="H86" s="5"/>
      <c r="K86" s="5"/>
      <c r="L86" s="5"/>
      <c r="M86" s="5"/>
      <c r="N86" s="5"/>
    </row>
    <row r="87" spans="6:14" x14ac:dyDescent="0.25">
      <c r="F87" s="5"/>
      <c r="H87" s="5"/>
      <c r="K87" s="5"/>
      <c r="L87" s="5"/>
      <c r="M87" s="5"/>
      <c r="N87" s="5"/>
    </row>
    <row r="88" spans="6:14" x14ac:dyDescent="0.25">
      <c r="F88" s="5"/>
      <c r="H88" s="5"/>
      <c r="K88" s="5"/>
      <c r="L88" s="5"/>
      <c r="M88" s="5"/>
      <c r="N88" s="5"/>
    </row>
    <row r="89" spans="6:14" x14ac:dyDescent="0.25">
      <c r="F89" s="5"/>
      <c r="H89" s="5"/>
      <c r="K89" s="5"/>
      <c r="L89" s="5"/>
      <c r="M89" s="5"/>
      <c r="N89" s="5"/>
    </row>
    <row r="90" spans="6:14" x14ac:dyDescent="0.25">
      <c r="F90" s="5"/>
      <c r="H90" s="5"/>
      <c r="K90" s="5"/>
      <c r="L90" s="5"/>
      <c r="M90" s="5"/>
      <c r="N90" s="5"/>
    </row>
    <row r="91" spans="6:14" x14ac:dyDescent="0.25">
      <c r="F91" s="5"/>
      <c r="H91" s="5"/>
      <c r="K91" s="5"/>
      <c r="L91" s="5"/>
      <c r="M91" s="5"/>
      <c r="N91" s="5"/>
    </row>
    <row r="92" spans="6:14" x14ac:dyDescent="0.25">
      <c r="F92" s="5"/>
      <c r="H92" s="5"/>
      <c r="K92" s="5"/>
      <c r="L92" s="5"/>
      <c r="M92" s="5"/>
      <c r="N92" s="5"/>
    </row>
    <row r="93" spans="6:14" x14ac:dyDescent="0.25">
      <c r="F93" s="5"/>
      <c r="H93" s="5"/>
      <c r="K93" s="5"/>
      <c r="L93" s="5"/>
      <c r="M93" s="5"/>
      <c r="N93" s="5"/>
    </row>
    <row r="94" spans="6:14" x14ac:dyDescent="0.25">
      <c r="F94" s="5"/>
      <c r="H94" s="5"/>
      <c r="K94" s="5"/>
      <c r="L94" s="5"/>
      <c r="M94" s="5"/>
      <c r="N94" s="5"/>
    </row>
    <row r="95" spans="6:14" x14ac:dyDescent="0.25">
      <c r="F95" s="5"/>
      <c r="H95" s="5"/>
      <c r="K95" s="5"/>
      <c r="L95" s="5"/>
      <c r="M95" s="5"/>
      <c r="N95" s="5"/>
    </row>
    <row r="96" spans="6:14" x14ac:dyDescent="0.25">
      <c r="F96" s="5"/>
      <c r="H96" s="5"/>
      <c r="K96" s="5"/>
      <c r="L96" s="5"/>
      <c r="M96" s="5"/>
      <c r="N96" s="5"/>
    </row>
    <row r="97" spans="6:14" x14ac:dyDescent="0.25">
      <c r="F97" s="5"/>
      <c r="H97" s="5"/>
      <c r="K97" s="5"/>
      <c r="L97" s="5"/>
      <c r="M97" s="5"/>
      <c r="N97" s="5"/>
    </row>
    <row r="98" spans="6:14" x14ac:dyDescent="0.25">
      <c r="F98" s="5"/>
      <c r="H98" s="5"/>
      <c r="K98" s="5"/>
      <c r="L98" s="5"/>
      <c r="M98" s="5"/>
      <c r="N98" s="5"/>
    </row>
    <row r="99" spans="6:14" x14ac:dyDescent="0.25">
      <c r="F99" s="5"/>
      <c r="H99" s="5"/>
      <c r="K99" s="5"/>
      <c r="L99" s="5"/>
      <c r="M99" s="5"/>
      <c r="N99" s="5"/>
    </row>
    <row r="100" spans="6:14" x14ac:dyDescent="0.25">
      <c r="F100" s="5"/>
      <c r="H100" s="5"/>
      <c r="K100" s="5"/>
      <c r="L100" s="5"/>
      <c r="M100" s="5"/>
      <c r="N100" s="5"/>
    </row>
    <row r="101" spans="6:14" x14ac:dyDescent="0.25">
      <c r="F101" s="5"/>
      <c r="H101" s="5"/>
      <c r="K101" s="5"/>
      <c r="L101" s="5"/>
      <c r="M101" s="5"/>
      <c r="N101" s="5"/>
    </row>
    <row r="102" spans="6:14" x14ac:dyDescent="0.25">
      <c r="F102" s="5"/>
      <c r="H102" s="5"/>
      <c r="K102" s="5"/>
      <c r="L102" s="5"/>
      <c r="M102" s="5"/>
      <c r="N102" s="5"/>
    </row>
    <row r="103" spans="6:14" x14ac:dyDescent="0.25">
      <c r="F103" s="5"/>
      <c r="H103" s="5"/>
      <c r="K103" s="5"/>
      <c r="L103" s="5"/>
      <c r="M103" s="5"/>
      <c r="N103" s="5"/>
    </row>
    <row r="104" spans="6:14" x14ac:dyDescent="0.25">
      <c r="F104" s="5"/>
      <c r="H104" s="5"/>
      <c r="K104" s="5"/>
      <c r="L104" s="5"/>
      <c r="M104" s="5"/>
      <c r="N104" s="5"/>
    </row>
    <row r="105" spans="6:14" x14ac:dyDescent="0.25">
      <c r="F105" s="5"/>
      <c r="H105" s="5"/>
      <c r="K105" s="5"/>
      <c r="L105" s="5"/>
      <c r="M105" s="5"/>
      <c r="N105" s="5"/>
    </row>
    <row r="106" spans="6:14" x14ac:dyDescent="0.25">
      <c r="F106" s="5"/>
      <c r="H106" s="5"/>
      <c r="K106" s="5"/>
      <c r="L106" s="5"/>
      <c r="M106" s="5"/>
      <c r="N106" s="5"/>
    </row>
    <row r="107" spans="6:14" x14ac:dyDescent="0.25">
      <c r="F107" s="5"/>
      <c r="H107" s="5"/>
      <c r="K107" s="5"/>
      <c r="L107" s="5"/>
      <c r="M107" s="5"/>
      <c r="N107" s="5"/>
    </row>
    <row r="108" spans="6:14" x14ac:dyDescent="0.25">
      <c r="F108" s="5"/>
      <c r="H108" s="5"/>
      <c r="K108" s="5"/>
      <c r="L108" s="5"/>
      <c r="M108" s="5"/>
      <c r="N108" s="5"/>
    </row>
    <row r="109" spans="6:14" x14ac:dyDescent="0.25">
      <c r="F109" s="5"/>
      <c r="H109" s="5"/>
      <c r="K109" s="5"/>
      <c r="L109" s="5"/>
      <c r="M109" s="5"/>
      <c r="N109" s="5"/>
    </row>
    <row r="110" spans="6:14" x14ac:dyDescent="0.25">
      <c r="F110" s="5"/>
      <c r="H110" s="5"/>
      <c r="K110" s="5"/>
      <c r="L110" s="5"/>
      <c r="M110" s="5"/>
      <c r="N110" s="5"/>
    </row>
    <row r="111" spans="6:14" x14ac:dyDescent="0.25">
      <c r="F111" s="5"/>
      <c r="H111" s="5"/>
      <c r="K111" s="5"/>
      <c r="L111" s="5"/>
      <c r="M111" s="5"/>
      <c r="N111" s="5"/>
    </row>
    <row r="112" spans="6:14" x14ac:dyDescent="0.25">
      <c r="F112" s="5"/>
      <c r="H112" s="5"/>
      <c r="K112" s="5"/>
      <c r="L112" s="5"/>
      <c r="M112" s="5"/>
      <c r="N112" s="5"/>
    </row>
    <row r="113" spans="6:14" x14ac:dyDescent="0.25">
      <c r="F113" s="5"/>
      <c r="H113" s="5"/>
      <c r="K113" s="5"/>
      <c r="L113" s="5"/>
      <c r="M113" s="5"/>
      <c r="N113" s="5"/>
    </row>
    <row r="114" spans="6:14" x14ac:dyDescent="0.25">
      <c r="F114" s="5"/>
      <c r="H114" s="5"/>
      <c r="K114" s="5"/>
      <c r="L114" s="5"/>
      <c r="M114" s="5"/>
      <c r="N114" s="5"/>
    </row>
    <row r="115" spans="6:14" x14ac:dyDescent="0.25">
      <c r="F115" s="5"/>
      <c r="H115" s="5"/>
      <c r="K115" s="5"/>
      <c r="L115" s="5"/>
      <c r="M115" s="5"/>
      <c r="N115" s="5"/>
    </row>
    <row r="116" spans="6:14" x14ac:dyDescent="0.25">
      <c r="F116" s="5"/>
      <c r="H116" s="5"/>
      <c r="K116" s="5"/>
      <c r="L116" s="5"/>
      <c r="M116" s="5"/>
      <c r="N116" s="5"/>
    </row>
    <row r="117" spans="6:14" x14ac:dyDescent="0.25">
      <c r="F117" s="5"/>
      <c r="H117" s="5"/>
      <c r="K117" s="5"/>
      <c r="L117" s="5"/>
      <c r="M117" s="5"/>
      <c r="N117" s="5"/>
    </row>
    <row r="118" spans="6:14" x14ac:dyDescent="0.25">
      <c r="F118" s="5"/>
      <c r="H118" s="5"/>
      <c r="K118" s="5"/>
      <c r="L118" s="5"/>
      <c r="M118" s="5"/>
      <c r="N118" s="5"/>
    </row>
    <row r="119" spans="6:14" x14ac:dyDescent="0.25">
      <c r="F119" s="5"/>
      <c r="H119" s="5"/>
      <c r="K119" s="5"/>
      <c r="L119" s="5"/>
      <c r="M119" s="5"/>
      <c r="N119" s="5"/>
    </row>
    <row r="120" spans="6:14" x14ac:dyDescent="0.25">
      <c r="F120" s="5"/>
      <c r="H120" s="5"/>
      <c r="K120" s="5"/>
      <c r="L120" s="5"/>
      <c r="M120" s="5"/>
      <c r="N120" s="5"/>
    </row>
    <row r="121" spans="6:14" x14ac:dyDescent="0.25">
      <c r="F121" s="5"/>
      <c r="H121" s="5"/>
      <c r="K121" s="5"/>
      <c r="L121" s="5"/>
      <c r="M121" s="5"/>
      <c r="N121" s="5"/>
    </row>
    <row r="122" spans="6:14" x14ac:dyDescent="0.25">
      <c r="F122" s="5"/>
      <c r="H122" s="5"/>
      <c r="K122" s="5"/>
      <c r="L122" s="5"/>
      <c r="M122" s="5"/>
      <c r="N122" s="5"/>
    </row>
    <row r="123" spans="6:14" x14ac:dyDescent="0.25">
      <c r="F123" s="5"/>
      <c r="H123" s="5"/>
      <c r="K123" s="5"/>
      <c r="L123" s="5"/>
      <c r="M123" s="5"/>
      <c r="N123" s="5"/>
    </row>
    <row r="124" spans="6:14" x14ac:dyDescent="0.25">
      <c r="F124" s="5"/>
      <c r="H124" s="5"/>
      <c r="K124" s="5"/>
      <c r="L124" s="5"/>
      <c r="M124" s="5"/>
      <c r="N124" s="5"/>
    </row>
    <row r="125" spans="6:14" x14ac:dyDescent="0.25">
      <c r="F125" s="5"/>
      <c r="H125" s="5"/>
      <c r="K125" s="5"/>
      <c r="L125" s="5"/>
      <c r="M125" s="5"/>
      <c r="N125" s="5"/>
    </row>
    <row r="126" spans="6:14" x14ac:dyDescent="0.25">
      <c r="F126" s="5"/>
      <c r="H126" s="5"/>
      <c r="K126" s="5"/>
      <c r="L126" s="5"/>
      <c r="M126" s="5"/>
      <c r="N126" s="5"/>
    </row>
    <row r="127" spans="6:14" x14ac:dyDescent="0.25">
      <c r="F127" s="5"/>
      <c r="H127" s="5"/>
      <c r="K127" s="5"/>
      <c r="L127" s="5"/>
      <c r="M127" s="5"/>
      <c r="N127" s="5"/>
    </row>
    <row r="128" spans="6:14" x14ac:dyDescent="0.25">
      <c r="F128" s="5"/>
      <c r="H128" s="5"/>
      <c r="K128" s="5"/>
      <c r="L128" s="5"/>
      <c r="M128" s="5"/>
      <c r="N128" s="5"/>
    </row>
    <row r="129" spans="6:14" x14ac:dyDescent="0.25">
      <c r="F129" s="5"/>
      <c r="H129" s="5"/>
      <c r="K129" s="5"/>
      <c r="L129" s="5"/>
      <c r="M129" s="5"/>
      <c r="N129" s="5"/>
    </row>
    <row r="130" spans="6:14" x14ac:dyDescent="0.25">
      <c r="F130" s="5"/>
      <c r="H130" s="5"/>
      <c r="K130" s="5"/>
      <c r="L130" s="5"/>
      <c r="M130" s="5"/>
      <c r="N130" s="5"/>
    </row>
    <row r="131" spans="6:14" x14ac:dyDescent="0.25">
      <c r="F131" s="5"/>
      <c r="H131" s="5"/>
      <c r="K131" s="5"/>
      <c r="L131" s="5"/>
      <c r="M131" s="5"/>
      <c r="N131" s="5"/>
    </row>
    <row r="132" spans="6:14" x14ac:dyDescent="0.25">
      <c r="F132" s="5"/>
      <c r="H132" s="5"/>
      <c r="K132" s="5"/>
      <c r="L132" s="5"/>
      <c r="M132" s="5"/>
      <c r="N132" s="5"/>
    </row>
    <row r="133" spans="6:14" x14ac:dyDescent="0.25">
      <c r="F133" s="5"/>
      <c r="H133" s="5"/>
      <c r="K133" s="5"/>
      <c r="L133" s="5"/>
      <c r="M133" s="5"/>
      <c r="N133" s="5"/>
    </row>
    <row r="134" spans="6:14" x14ac:dyDescent="0.25">
      <c r="F134" s="5"/>
      <c r="H134" s="5"/>
      <c r="K134" s="5"/>
      <c r="L134" s="5"/>
      <c r="M134" s="5"/>
      <c r="N134" s="5"/>
    </row>
    <row r="135" spans="6:14" x14ac:dyDescent="0.25">
      <c r="F135" s="5"/>
      <c r="H135" s="5"/>
      <c r="K135" s="5"/>
      <c r="L135" s="5"/>
      <c r="M135" s="5"/>
      <c r="N135" s="5"/>
    </row>
    <row r="136" spans="6:14" x14ac:dyDescent="0.25">
      <c r="F136" s="5"/>
      <c r="H136" s="5"/>
      <c r="K136" s="5"/>
      <c r="L136" s="5"/>
      <c r="M136" s="5"/>
      <c r="N136" s="5"/>
    </row>
    <row r="137" spans="6:14" x14ac:dyDescent="0.25">
      <c r="F137" s="5"/>
      <c r="H137" s="5"/>
      <c r="K137" s="5"/>
      <c r="L137" s="5"/>
      <c r="M137" s="5"/>
      <c r="N137" s="5"/>
    </row>
    <row r="138" spans="6:14" x14ac:dyDescent="0.25">
      <c r="F138" s="5"/>
      <c r="H138" s="5"/>
      <c r="K138" s="5"/>
      <c r="L138" s="5"/>
      <c r="M138" s="5"/>
      <c r="N138" s="5"/>
    </row>
    <row r="139" spans="6:14" x14ac:dyDescent="0.25">
      <c r="F139" s="5"/>
      <c r="H139" s="5"/>
      <c r="K139" s="5"/>
      <c r="L139" s="5"/>
      <c r="M139" s="5"/>
      <c r="N139" s="5"/>
    </row>
    <row r="140" spans="6:14" x14ac:dyDescent="0.25">
      <c r="F140" s="5"/>
      <c r="H140" s="5"/>
      <c r="K140" s="5"/>
      <c r="L140" s="5"/>
      <c r="M140" s="5"/>
      <c r="N140" s="5"/>
    </row>
    <row r="141" spans="6:14" x14ac:dyDescent="0.25">
      <c r="F141" s="5"/>
      <c r="H141" s="5"/>
      <c r="K141" s="5"/>
      <c r="L141" s="5"/>
      <c r="M141" s="5"/>
      <c r="N141" s="5"/>
    </row>
    <row r="142" spans="6:14" x14ac:dyDescent="0.25">
      <c r="F142" s="5"/>
      <c r="H142" s="5"/>
      <c r="K142" s="5"/>
      <c r="L142" s="5"/>
      <c r="M142" s="5"/>
      <c r="N142" s="5"/>
    </row>
    <row r="143" spans="6:14" x14ac:dyDescent="0.25">
      <c r="F143" s="5"/>
      <c r="H143" s="5"/>
      <c r="K143" s="5"/>
      <c r="L143" s="5"/>
      <c r="M143" s="5"/>
      <c r="N143" s="5"/>
    </row>
    <row r="144" spans="6:14" x14ac:dyDescent="0.25">
      <c r="F144" s="5"/>
      <c r="H144" s="5"/>
      <c r="K144" s="5"/>
      <c r="L144" s="5"/>
      <c r="M144" s="5"/>
      <c r="N144" s="5"/>
    </row>
    <row r="145" spans="6:14" x14ac:dyDescent="0.25">
      <c r="F145" s="5"/>
      <c r="H145" s="5"/>
      <c r="K145" s="5"/>
      <c r="L145" s="5"/>
      <c r="M145" s="5"/>
      <c r="N145" s="5"/>
    </row>
    <row r="146" spans="6:14" x14ac:dyDescent="0.25">
      <c r="F146" s="5"/>
      <c r="H146" s="5"/>
      <c r="K146" s="5"/>
      <c r="L146" s="5"/>
      <c r="M146" s="5"/>
      <c r="N146" s="5"/>
    </row>
    <row r="147" spans="6:14" x14ac:dyDescent="0.25">
      <c r="F147" s="5"/>
      <c r="H147" s="5"/>
      <c r="K147" s="5"/>
      <c r="L147" s="5"/>
      <c r="M147" s="5"/>
      <c r="N147" s="5"/>
    </row>
    <row r="148" spans="6:14" x14ac:dyDescent="0.25">
      <c r="F148" s="5"/>
      <c r="H148" s="5"/>
      <c r="K148" s="5"/>
      <c r="L148" s="5"/>
      <c r="M148" s="5"/>
      <c r="N148" s="5"/>
    </row>
    <row r="149" spans="6:14" x14ac:dyDescent="0.25">
      <c r="F149" s="5"/>
      <c r="H149" s="5"/>
      <c r="K149" s="5"/>
      <c r="L149" s="5"/>
      <c r="M149" s="5"/>
      <c r="N149" s="5"/>
    </row>
    <row r="150" spans="6:14" x14ac:dyDescent="0.25">
      <c r="F150" s="5"/>
      <c r="H150" s="5"/>
      <c r="K150" s="5"/>
      <c r="L150" s="5"/>
      <c r="M150" s="5"/>
      <c r="N150" s="5"/>
    </row>
    <row r="151" spans="6:14" x14ac:dyDescent="0.25">
      <c r="F151" s="5"/>
      <c r="H151" s="5"/>
      <c r="K151" s="5"/>
      <c r="L151" s="5"/>
      <c r="M151" s="5"/>
      <c r="N151" s="5"/>
    </row>
    <row r="152" spans="6:14" x14ac:dyDescent="0.25">
      <c r="F152" s="5"/>
      <c r="H152" s="5"/>
      <c r="K152" s="5"/>
      <c r="L152" s="5"/>
      <c r="M152" s="5"/>
      <c r="N152" s="5"/>
    </row>
    <row r="153" spans="6:14" x14ac:dyDescent="0.25">
      <c r="F153" s="5"/>
      <c r="H153" s="5"/>
      <c r="K153" s="5"/>
      <c r="L153" s="5"/>
      <c r="M153" s="5"/>
      <c r="N153" s="5"/>
    </row>
    <row r="154" spans="6:14" x14ac:dyDescent="0.25">
      <c r="F154" s="5"/>
      <c r="H154" s="5"/>
      <c r="K154" s="5"/>
      <c r="L154" s="5"/>
      <c r="M154" s="5"/>
      <c r="N154" s="5"/>
    </row>
    <row r="155" spans="6:14" x14ac:dyDescent="0.25">
      <c r="F155" s="5"/>
      <c r="H155" s="5"/>
      <c r="K155" s="5"/>
      <c r="L155" s="5"/>
      <c r="M155" s="5"/>
      <c r="N155" s="5"/>
    </row>
    <row r="156" spans="6:14" x14ac:dyDescent="0.25">
      <c r="F156" s="5"/>
      <c r="H156" s="5"/>
      <c r="K156" s="5"/>
      <c r="L156" s="5"/>
      <c r="M156" s="5"/>
      <c r="N156" s="5"/>
    </row>
    <row r="157" spans="6:14" x14ac:dyDescent="0.25">
      <c r="F157" s="5"/>
      <c r="H157" s="5"/>
      <c r="K157" s="5"/>
      <c r="L157" s="5"/>
      <c r="M157" s="5"/>
      <c r="N157" s="5"/>
    </row>
    <row r="158" spans="6:14" x14ac:dyDescent="0.25">
      <c r="F158" s="5"/>
      <c r="H158" s="5"/>
      <c r="K158" s="5"/>
      <c r="L158" s="5"/>
      <c r="M158" s="5"/>
      <c r="N158" s="5"/>
    </row>
    <row r="159" spans="6:14" x14ac:dyDescent="0.25">
      <c r="F159" s="5"/>
      <c r="H159" s="5"/>
      <c r="K159" s="5"/>
      <c r="L159" s="5"/>
      <c r="M159" s="5"/>
      <c r="N159" s="5"/>
    </row>
    <row r="160" spans="6:14" x14ac:dyDescent="0.25">
      <c r="F160" s="5"/>
      <c r="H160" s="5"/>
      <c r="K160" s="5"/>
      <c r="L160" s="5"/>
      <c r="M160" s="5"/>
      <c r="N160" s="5"/>
    </row>
    <row r="161" spans="6:14" x14ac:dyDescent="0.25">
      <c r="F161" s="5"/>
      <c r="H161" s="5"/>
      <c r="K161" s="5"/>
      <c r="L161" s="5"/>
      <c r="M161" s="5"/>
      <c r="N161" s="5"/>
    </row>
    <row r="162" spans="6:14" x14ac:dyDescent="0.25">
      <c r="F162" s="5"/>
      <c r="H162" s="5"/>
      <c r="K162" s="5"/>
      <c r="L162" s="5"/>
      <c r="M162" s="5"/>
      <c r="N162" s="5"/>
    </row>
    <row r="163" spans="6:14" x14ac:dyDescent="0.25">
      <c r="F163" s="5"/>
      <c r="H163" s="5"/>
      <c r="K163" s="5"/>
      <c r="L163" s="5"/>
      <c r="M163" s="5"/>
      <c r="N163" s="5"/>
    </row>
    <row r="164" spans="6:14" x14ac:dyDescent="0.25">
      <c r="F164" s="5"/>
      <c r="H164" s="5"/>
      <c r="K164" s="5"/>
      <c r="L164" s="5"/>
      <c r="M164" s="5"/>
      <c r="N164" s="5"/>
    </row>
    <row r="165" spans="6:14" x14ac:dyDescent="0.25">
      <c r="F165" s="5"/>
      <c r="H165" s="5"/>
      <c r="K165" s="5"/>
      <c r="L165" s="5"/>
      <c r="M165" s="5"/>
      <c r="N165" s="5"/>
    </row>
    <row r="166" spans="6:14" x14ac:dyDescent="0.25">
      <c r="F166" s="5"/>
      <c r="H166" s="5"/>
      <c r="K166" s="5"/>
      <c r="L166" s="5"/>
      <c r="M166" s="5"/>
      <c r="N166" s="5"/>
    </row>
    <row r="167" spans="6:14" x14ac:dyDescent="0.25">
      <c r="F167" s="5"/>
      <c r="H167" s="5"/>
      <c r="K167" s="5"/>
      <c r="L167" s="5"/>
      <c r="M167" s="5"/>
      <c r="N167" s="5"/>
    </row>
    <row r="168" spans="6:14" x14ac:dyDescent="0.25">
      <c r="F168" s="5"/>
      <c r="H168" s="5"/>
      <c r="K168" s="5"/>
      <c r="L168" s="5"/>
      <c r="M168" s="5"/>
      <c r="N168" s="5"/>
    </row>
    <row r="169" spans="6:14" x14ac:dyDescent="0.25">
      <c r="F169" s="5"/>
      <c r="H169" s="5"/>
      <c r="K169" s="5"/>
      <c r="L169" s="5"/>
      <c r="M169" s="5"/>
      <c r="N169" s="5"/>
    </row>
    <row r="170" spans="6:14" x14ac:dyDescent="0.25">
      <c r="F170" s="5"/>
      <c r="H170" s="5"/>
      <c r="K170" s="5"/>
      <c r="L170" s="5"/>
      <c r="M170" s="5"/>
      <c r="N170" s="5"/>
    </row>
    <row r="171" spans="6:14" x14ac:dyDescent="0.25">
      <c r="F171" s="5"/>
      <c r="H171" s="5"/>
      <c r="K171" s="5"/>
      <c r="L171" s="5"/>
      <c r="M171" s="5"/>
      <c r="N171" s="5"/>
    </row>
    <row r="172" spans="6:14" x14ac:dyDescent="0.25">
      <c r="F172" s="5"/>
      <c r="H172" s="5"/>
      <c r="K172" s="5"/>
      <c r="L172" s="5"/>
      <c r="M172" s="5"/>
      <c r="N172" s="5"/>
    </row>
    <row r="173" spans="6:14" x14ac:dyDescent="0.25">
      <c r="F173" s="5"/>
      <c r="H173" s="5"/>
      <c r="K173" s="5"/>
      <c r="L173" s="5"/>
      <c r="M173" s="5"/>
      <c r="N173" s="5"/>
    </row>
    <row r="174" spans="6:14" x14ac:dyDescent="0.25">
      <c r="F174" s="5"/>
      <c r="H174" s="5"/>
      <c r="K174" s="5"/>
      <c r="L174" s="5"/>
      <c r="M174" s="5"/>
      <c r="N174" s="5"/>
    </row>
    <row r="175" spans="6:14" x14ac:dyDescent="0.25">
      <c r="F175" s="5"/>
      <c r="H175" s="5"/>
      <c r="K175" s="5"/>
      <c r="L175" s="5"/>
      <c r="M175" s="5"/>
      <c r="N175" s="5"/>
    </row>
    <row r="176" spans="6:14" x14ac:dyDescent="0.25">
      <c r="F176" s="5"/>
      <c r="H176" s="5"/>
      <c r="K176" s="5"/>
      <c r="L176" s="5"/>
      <c r="M176" s="5"/>
      <c r="N176" s="5"/>
    </row>
    <row r="177" spans="6:14" x14ac:dyDescent="0.25">
      <c r="F177" s="5"/>
      <c r="H177" s="5"/>
      <c r="K177" s="5"/>
      <c r="L177" s="5"/>
      <c r="M177" s="5"/>
      <c r="N177" s="5"/>
    </row>
    <row r="178" spans="6:14" x14ac:dyDescent="0.25">
      <c r="F178" s="5"/>
      <c r="H178" s="5"/>
      <c r="K178" s="5"/>
      <c r="L178" s="5"/>
      <c r="M178" s="5"/>
      <c r="N178" s="5"/>
    </row>
    <row r="179" spans="6:14" x14ac:dyDescent="0.25">
      <c r="F179" s="5"/>
      <c r="H179" s="5"/>
      <c r="K179" s="5"/>
      <c r="L179" s="5"/>
      <c r="M179" s="5"/>
      <c r="N179" s="5"/>
    </row>
    <row r="180" spans="6:14" x14ac:dyDescent="0.25">
      <c r="F180" s="5"/>
      <c r="H180" s="5"/>
      <c r="K180" s="5"/>
      <c r="L180" s="5"/>
      <c r="M180" s="5"/>
      <c r="N180" s="5"/>
    </row>
    <row r="181" spans="6:14" x14ac:dyDescent="0.25">
      <c r="F181" s="5"/>
      <c r="H181" s="5"/>
      <c r="K181" s="5"/>
      <c r="L181" s="5"/>
      <c r="M181" s="5"/>
      <c r="N181" s="5"/>
    </row>
    <row r="182" spans="6:14" x14ac:dyDescent="0.25">
      <c r="F182" s="5"/>
      <c r="H182" s="5"/>
      <c r="K182" s="5"/>
      <c r="L182" s="5"/>
      <c r="M182" s="5"/>
      <c r="N182" s="5"/>
    </row>
    <row r="183" spans="6:14" x14ac:dyDescent="0.25">
      <c r="F183" s="5"/>
      <c r="H183" s="5"/>
      <c r="K183" s="5"/>
      <c r="L183" s="5"/>
      <c r="M183" s="5"/>
      <c r="N183" s="5"/>
    </row>
    <row r="184" spans="6:14" x14ac:dyDescent="0.25">
      <c r="F184" s="5"/>
      <c r="H184" s="5"/>
      <c r="K184" s="5"/>
      <c r="L184" s="5"/>
      <c r="M184" s="5"/>
      <c r="N184" s="5"/>
    </row>
    <row r="185" spans="6:14" x14ac:dyDescent="0.25">
      <c r="F185" s="5"/>
      <c r="H185" s="5"/>
      <c r="K185" s="5"/>
      <c r="L185" s="5"/>
      <c r="M185" s="5"/>
      <c r="N185" s="5"/>
    </row>
    <row r="186" spans="6:14" x14ac:dyDescent="0.25">
      <c r="F186" s="5"/>
      <c r="H186" s="5"/>
      <c r="K186" s="5"/>
      <c r="L186" s="5"/>
      <c r="M186" s="5"/>
      <c r="N186" s="5"/>
    </row>
    <row r="187" spans="6:14" x14ac:dyDescent="0.25">
      <c r="F187" s="5"/>
      <c r="H187" s="5"/>
      <c r="K187" s="5"/>
      <c r="L187" s="5"/>
      <c r="M187" s="5"/>
      <c r="N187" s="5"/>
    </row>
    <row r="188" spans="6:14" x14ac:dyDescent="0.25">
      <c r="F188" s="5"/>
      <c r="H188" s="5"/>
      <c r="K188" s="5"/>
      <c r="L188" s="5"/>
      <c r="M188" s="5"/>
      <c r="N188" s="5"/>
    </row>
    <row r="189" spans="6:14" x14ac:dyDescent="0.25">
      <c r="F189" s="5"/>
      <c r="H189" s="5"/>
      <c r="K189" s="5"/>
      <c r="L189" s="5"/>
      <c r="M189" s="5"/>
      <c r="N189" s="5"/>
    </row>
    <row r="190" spans="6:14" x14ac:dyDescent="0.25">
      <c r="F190" s="5"/>
      <c r="H190" s="5"/>
      <c r="K190" s="5"/>
      <c r="L190" s="5"/>
      <c r="M190" s="5"/>
      <c r="N190" s="5"/>
    </row>
    <row r="191" spans="6:14" x14ac:dyDescent="0.25">
      <c r="F191" s="5"/>
      <c r="H191" s="5"/>
      <c r="K191" s="5"/>
      <c r="L191" s="5"/>
      <c r="M191" s="5"/>
      <c r="N191" s="5"/>
    </row>
    <row r="192" spans="6:14" x14ac:dyDescent="0.25">
      <c r="F192" s="5"/>
      <c r="H192" s="5"/>
      <c r="K192" s="5"/>
      <c r="L192" s="5"/>
      <c r="M192" s="5"/>
      <c r="N192" s="5"/>
    </row>
    <row r="193" spans="6:14" x14ac:dyDescent="0.25">
      <c r="F193" s="5"/>
      <c r="H193" s="5"/>
      <c r="K193" s="5"/>
      <c r="L193" s="5"/>
      <c r="M193" s="5"/>
      <c r="N193" s="5"/>
    </row>
    <row r="194" spans="6:14" x14ac:dyDescent="0.25">
      <c r="F194" s="5"/>
      <c r="H194" s="5"/>
      <c r="K194" s="5"/>
      <c r="L194" s="5"/>
      <c r="M194" s="5"/>
      <c r="N194" s="5"/>
    </row>
    <row r="195" spans="6:14" x14ac:dyDescent="0.25">
      <c r="F195" s="5"/>
      <c r="H195" s="5"/>
      <c r="K195" s="5"/>
      <c r="L195" s="5"/>
      <c r="M195" s="5"/>
      <c r="N195" s="5"/>
    </row>
    <row r="196" spans="6:14" x14ac:dyDescent="0.25">
      <c r="F196" s="5"/>
      <c r="H196" s="5"/>
      <c r="K196" s="5"/>
      <c r="L196" s="5"/>
      <c r="M196" s="5"/>
      <c r="N196" s="5"/>
    </row>
    <row r="197" spans="6:14" x14ac:dyDescent="0.25">
      <c r="F197" s="5"/>
      <c r="H197" s="5"/>
      <c r="K197" s="5"/>
      <c r="L197" s="5"/>
      <c r="M197" s="5"/>
      <c r="N197" s="5"/>
    </row>
    <row r="198" spans="6:14" x14ac:dyDescent="0.25">
      <c r="F198" s="5"/>
      <c r="H198" s="5"/>
      <c r="K198" s="5"/>
      <c r="L198" s="5"/>
      <c r="M198" s="5"/>
      <c r="N198" s="5"/>
    </row>
    <row r="199" spans="6:14" x14ac:dyDescent="0.25">
      <c r="F199" s="5"/>
      <c r="H199" s="5"/>
      <c r="K199" s="5"/>
      <c r="L199" s="5"/>
      <c r="M199" s="5"/>
      <c r="N199" s="5"/>
    </row>
    <row r="200" spans="6:14" x14ac:dyDescent="0.25">
      <c r="F200" s="5"/>
      <c r="H200" s="5"/>
      <c r="K200" s="5"/>
      <c r="L200" s="5"/>
      <c r="M200" s="5"/>
      <c r="N200" s="5"/>
    </row>
    <row r="201" spans="6:14" x14ac:dyDescent="0.25">
      <c r="F201" s="5"/>
      <c r="H201" s="5"/>
      <c r="K201" s="5"/>
      <c r="L201" s="5"/>
      <c r="M201" s="5"/>
      <c r="N201" s="5"/>
    </row>
    <row r="202" spans="6:14" x14ac:dyDescent="0.25">
      <c r="F202" s="5"/>
      <c r="H202" s="5"/>
      <c r="K202" s="5"/>
      <c r="L202" s="5"/>
      <c r="M202" s="5"/>
      <c r="N202" s="5"/>
    </row>
    <row r="203" spans="6:14" x14ac:dyDescent="0.25">
      <c r="F203" s="5"/>
      <c r="H203" s="5"/>
      <c r="K203" s="5"/>
      <c r="L203" s="5"/>
      <c r="M203" s="5"/>
      <c r="N203" s="5"/>
    </row>
    <row r="204" spans="6:14" x14ac:dyDescent="0.25">
      <c r="F204" s="5"/>
      <c r="H204" s="5"/>
      <c r="K204" s="5"/>
      <c r="L204" s="5"/>
      <c r="M204" s="5"/>
      <c r="N204" s="5"/>
    </row>
    <row r="205" spans="6:14" x14ac:dyDescent="0.25">
      <c r="F205" s="5"/>
      <c r="H205" s="5"/>
      <c r="K205" s="5"/>
      <c r="L205" s="5"/>
      <c r="M205" s="5"/>
      <c r="N205" s="5"/>
    </row>
    <row r="206" spans="6:14" x14ac:dyDescent="0.25">
      <c r="F206" s="5"/>
      <c r="H206" s="5"/>
      <c r="K206" s="5"/>
      <c r="L206" s="5"/>
      <c r="M206" s="5"/>
      <c r="N206" s="5"/>
    </row>
    <row r="207" spans="6:14" x14ac:dyDescent="0.25">
      <c r="F207" s="5"/>
      <c r="H207" s="5"/>
      <c r="K207" s="5"/>
      <c r="L207" s="5"/>
      <c r="M207" s="5"/>
      <c r="N207" s="5"/>
    </row>
    <row r="208" spans="6:14" x14ac:dyDescent="0.25">
      <c r="F208" s="5"/>
      <c r="H208" s="5"/>
      <c r="K208" s="5"/>
      <c r="L208" s="5"/>
      <c r="M208" s="5"/>
      <c r="N208" s="5"/>
    </row>
    <row r="209" spans="6:14" x14ac:dyDescent="0.25">
      <c r="F209" s="5"/>
      <c r="H209" s="5"/>
      <c r="K209" s="5"/>
      <c r="L209" s="5"/>
      <c r="M209" s="5"/>
      <c r="N209" s="5"/>
    </row>
    <row r="210" spans="6:14" x14ac:dyDescent="0.25">
      <c r="F210" s="5"/>
      <c r="H210" s="5"/>
      <c r="K210" s="5"/>
      <c r="L210" s="5"/>
      <c r="M210" s="5"/>
      <c r="N210" s="5"/>
    </row>
    <row r="211" spans="6:14" x14ac:dyDescent="0.25">
      <c r="F211" s="5"/>
      <c r="H211" s="5"/>
      <c r="K211" s="5"/>
      <c r="L211" s="5"/>
      <c r="M211" s="5"/>
      <c r="N211" s="5"/>
    </row>
    <row r="212" spans="6:14" x14ac:dyDescent="0.25">
      <c r="F212" s="5"/>
      <c r="H212" s="5"/>
      <c r="K212" s="5"/>
      <c r="L212" s="5"/>
      <c r="M212" s="5"/>
      <c r="N212" s="5"/>
    </row>
    <row r="213" spans="6:14" x14ac:dyDescent="0.25">
      <c r="F213" s="5"/>
      <c r="H213" s="5"/>
      <c r="K213" s="5"/>
      <c r="L213" s="5"/>
      <c r="M213" s="5"/>
      <c r="N213" s="5"/>
    </row>
    <row r="214" spans="6:14" x14ac:dyDescent="0.25">
      <c r="F214" s="5"/>
      <c r="H214" s="5"/>
      <c r="K214" s="5"/>
      <c r="L214" s="5"/>
      <c r="M214" s="5"/>
      <c r="N214" s="5"/>
    </row>
    <row r="215" spans="6:14" x14ac:dyDescent="0.25">
      <c r="F215" s="5"/>
      <c r="H215" s="5"/>
      <c r="K215" s="5"/>
      <c r="L215" s="5"/>
      <c r="M215" s="5"/>
      <c r="N215" s="5"/>
    </row>
    <row r="216" spans="6:14" x14ac:dyDescent="0.25">
      <c r="F216" s="5"/>
      <c r="H216" s="5"/>
      <c r="K216" s="5"/>
      <c r="L216" s="5"/>
      <c r="M216" s="5"/>
      <c r="N216" s="5"/>
    </row>
    <row r="217" spans="6:14" x14ac:dyDescent="0.25">
      <c r="F217" s="5"/>
      <c r="H217" s="5"/>
      <c r="K217" s="5"/>
      <c r="L217" s="5"/>
      <c r="M217" s="5"/>
      <c r="N217" s="5"/>
    </row>
    <row r="218" spans="6:14" x14ac:dyDescent="0.25">
      <c r="F218" s="5"/>
      <c r="H218" s="5"/>
      <c r="K218" s="5"/>
      <c r="L218" s="5"/>
      <c r="M218" s="5"/>
      <c r="N218" s="5"/>
    </row>
    <row r="219" spans="6:14" x14ac:dyDescent="0.25">
      <c r="F219" s="5"/>
      <c r="H219" s="5"/>
      <c r="K219" s="5"/>
      <c r="L219" s="5"/>
      <c r="M219" s="5"/>
      <c r="N219" s="5"/>
    </row>
    <row r="220" spans="6:14" x14ac:dyDescent="0.25">
      <c r="F220" s="5"/>
      <c r="H220" s="5"/>
      <c r="K220" s="5"/>
      <c r="L220" s="5"/>
      <c r="M220" s="5"/>
      <c r="N220" s="5"/>
    </row>
    <row r="221" spans="6:14" x14ac:dyDescent="0.25">
      <c r="F221" s="5"/>
      <c r="H221" s="5"/>
      <c r="K221" s="5"/>
      <c r="L221" s="5"/>
      <c r="M221" s="5"/>
      <c r="N221" s="5"/>
    </row>
    <row r="222" spans="6:14" x14ac:dyDescent="0.25">
      <c r="F222" s="5"/>
      <c r="H222" s="5"/>
      <c r="K222" s="5"/>
      <c r="L222" s="5"/>
      <c r="M222" s="5"/>
      <c r="N222" s="5"/>
    </row>
    <row r="223" spans="6:14" x14ac:dyDescent="0.25">
      <c r="F223" s="5"/>
      <c r="H223" s="5"/>
      <c r="K223" s="5"/>
      <c r="L223" s="5"/>
      <c r="M223" s="5"/>
      <c r="N223" s="5"/>
    </row>
    <row r="224" spans="6:14" x14ac:dyDescent="0.25">
      <c r="F224" s="5"/>
      <c r="H224" s="5"/>
      <c r="K224" s="5"/>
      <c r="L224" s="5"/>
      <c r="M224" s="5"/>
      <c r="N224" s="5"/>
    </row>
    <row r="225" spans="6:14" x14ac:dyDescent="0.25">
      <c r="F225" s="5"/>
      <c r="H225" s="5"/>
      <c r="K225" s="5"/>
      <c r="L225" s="5"/>
      <c r="M225" s="5"/>
      <c r="N225" s="5"/>
    </row>
    <row r="226" spans="6:14" x14ac:dyDescent="0.25">
      <c r="F226" s="5"/>
      <c r="H226" s="5"/>
      <c r="K226" s="5"/>
      <c r="L226" s="5"/>
      <c r="M226" s="5"/>
      <c r="N226" s="5"/>
    </row>
    <row r="227" spans="6:14" x14ac:dyDescent="0.25">
      <c r="F227" s="5"/>
      <c r="H227" s="5"/>
      <c r="K227" s="5"/>
      <c r="L227" s="5"/>
      <c r="M227" s="5"/>
      <c r="N227" s="5"/>
    </row>
    <row r="228" spans="6:14" x14ac:dyDescent="0.25">
      <c r="F228" s="5"/>
      <c r="H228" s="5"/>
      <c r="K228" s="5"/>
      <c r="L228" s="5"/>
      <c r="M228" s="5"/>
      <c r="N228" s="5"/>
    </row>
    <row r="229" spans="6:14" x14ac:dyDescent="0.25">
      <c r="F229" s="5"/>
      <c r="H229" s="5"/>
      <c r="K229" s="5"/>
      <c r="L229" s="5"/>
      <c r="M229" s="5"/>
      <c r="N229" s="5"/>
    </row>
    <row r="230" spans="6:14" x14ac:dyDescent="0.25">
      <c r="F230" s="5"/>
      <c r="H230" s="5"/>
      <c r="K230" s="5"/>
      <c r="L230" s="5"/>
      <c r="M230" s="5"/>
      <c r="N230" s="5"/>
    </row>
    <row r="231" spans="6:14" x14ac:dyDescent="0.25">
      <c r="F231" s="5"/>
      <c r="H231" s="5"/>
      <c r="K231" s="5"/>
      <c r="L231" s="5"/>
      <c r="M231" s="5"/>
      <c r="N231" s="5"/>
    </row>
    <row r="232" spans="6:14" x14ac:dyDescent="0.25">
      <c r="F232" s="5"/>
      <c r="H232" s="5"/>
      <c r="K232" s="5"/>
      <c r="L232" s="5"/>
      <c r="M232" s="5"/>
      <c r="N232" s="5"/>
    </row>
    <row r="233" spans="6:14" x14ac:dyDescent="0.25">
      <c r="F233" s="5"/>
      <c r="H233" s="5"/>
      <c r="K233" s="5"/>
      <c r="L233" s="5"/>
      <c r="M233" s="5"/>
      <c r="N233" s="5"/>
    </row>
    <row r="234" spans="6:14" x14ac:dyDescent="0.25">
      <c r="F234" s="5"/>
      <c r="H234" s="5"/>
      <c r="K234" s="5"/>
      <c r="L234" s="5"/>
      <c r="M234" s="5"/>
      <c r="N234" s="5"/>
    </row>
    <row r="235" spans="6:14" x14ac:dyDescent="0.25">
      <c r="F235" s="5"/>
      <c r="H235" s="5"/>
      <c r="K235" s="5"/>
      <c r="L235" s="5"/>
      <c r="M235" s="5"/>
      <c r="N235" s="5"/>
    </row>
    <row r="236" spans="6:14" x14ac:dyDescent="0.25">
      <c r="F236" s="5"/>
      <c r="H236" s="5"/>
      <c r="K236" s="5"/>
      <c r="L236" s="5"/>
      <c r="M236" s="5"/>
      <c r="N236" s="5"/>
    </row>
    <row r="237" spans="6:14" x14ac:dyDescent="0.25">
      <c r="F237" s="5"/>
      <c r="H237" s="5"/>
      <c r="K237" s="5"/>
      <c r="L237" s="5"/>
      <c r="M237" s="5"/>
      <c r="N237" s="5"/>
    </row>
    <row r="238" spans="6:14" x14ac:dyDescent="0.25">
      <c r="F238" s="5"/>
      <c r="H238" s="5"/>
      <c r="K238" s="5"/>
      <c r="L238" s="5"/>
      <c r="M238" s="5"/>
      <c r="N238" s="5"/>
    </row>
    <row r="239" spans="6:14" x14ac:dyDescent="0.25">
      <c r="F239" s="5"/>
      <c r="H239" s="5"/>
      <c r="K239" s="5"/>
      <c r="L239" s="5"/>
      <c r="M239" s="5"/>
      <c r="N239" s="5"/>
    </row>
    <row r="240" spans="6:14" x14ac:dyDescent="0.25">
      <c r="F240" s="5"/>
      <c r="H240" s="5"/>
      <c r="K240" s="5"/>
      <c r="L240" s="5"/>
      <c r="M240" s="5"/>
      <c r="N240" s="5"/>
    </row>
    <row r="241" spans="6:14" x14ac:dyDescent="0.25">
      <c r="F241" s="5"/>
      <c r="H241" s="5"/>
      <c r="K241" s="5"/>
      <c r="L241" s="5"/>
      <c r="M241" s="5"/>
      <c r="N241" s="5"/>
    </row>
    <row r="242" spans="6:14" x14ac:dyDescent="0.25">
      <c r="F242" s="5"/>
      <c r="H242" s="5"/>
      <c r="K242" s="5"/>
      <c r="L242" s="5"/>
      <c r="M242" s="5"/>
      <c r="N242" s="5"/>
    </row>
    <row r="243" spans="6:14" x14ac:dyDescent="0.25">
      <c r="F243" s="5"/>
      <c r="H243" s="5"/>
      <c r="K243" s="5"/>
      <c r="L243" s="5"/>
      <c r="M243" s="5"/>
      <c r="N243" s="5"/>
    </row>
    <row r="244" spans="6:14" x14ac:dyDescent="0.25">
      <c r="F244" s="5"/>
      <c r="H244" s="5"/>
      <c r="K244" s="5"/>
      <c r="L244" s="5"/>
      <c r="M244" s="5"/>
      <c r="N244" s="5"/>
    </row>
    <row r="245" spans="6:14" x14ac:dyDescent="0.25">
      <c r="F245" s="5"/>
      <c r="H245" s="5"/>
      <c r="K245" s="5"/>
      <c r="L245" s="5"/>
      <c r="M245" s="5"/>
      <c r="N245" s="5"/>
    </row>
    <row r="246" spans="6:14" x14ac:dyDescent="0.25">
      <c r="F246" s="5"/>
      <c r="H246" s="5"/>
      <c r="K246" s="5"/>
      <c r="L246" s="5"/>
      <c r="M246" s="5"/>
      <c r="N246" s="5"/>
    </row>
    <row r="247" spans="6:14" x14ac:dyDescent="0.25">
      <c r="F247" s="5"/>
      <c r="H247" s="5"/>
      <c r="K247" s="5"/>
      <c r="L247" s="5"/>
      <c r="M247" s="5"/>
      <c r="N247" s="5"/>
    </row>
    <row r="248" spans="6:14" x14ac:dyDescent="0.25">
      <c r="F248" s="5"/>
      <c r="H248" s="5"/>
      <c r="K248" s="5"/>
      <c r="L248" s="5"/>
      <c r="M248" s="5"/>
      <c r="N248" s="5"/>
    </row>
    <row r="249" spans="6:14" x14ac:dyDescent="0.25">
      <c r="F249" s="5"/>
      <c r="H249" s="5"/>
      <c r="K249" s="5"/>
      <c r="L249" s="5"/>
      <c r="M249" s="5"/>
      <c r="N249" s="5"/>
    </row>
    <row r="250" spans="6:14" x14ac:dyDescent="0.25">
      <c r="F250" s="5"/>
      <c r="H250" s="5"/>
      <c r="K250" s="5"/>
      <c r="L250" s="5"/>
      <c r="M250" s="5"/>
      <c r="N250" s="5"/>
    </row>
    <row r="251" spans="6:14" x14ac:dyDescent="0.25">
      <c r="F251" s="5"/>
      <c r="H251" s="5"/>
      <c r="K251" s="5"/>
      <c r="L251" s="5"/>
      <c r="M251" s="5"/>
      <c r="N251" s="5"/>
    </row>
    <row r="252" spans="6:14" x14ac:dyDescent="0.25">
      <c r="F252" s="5"/>
      <c r="H252" s="5"/>
      <c r="K252" s="5"/>
      <c r="L252" s="5"/>
      <c r="M252" s="5"/>
      <c r="N252" s="5"/>
    </row>
    <row r="253" spans="6:14" x14ac:dyDescent="0.25">
      <c r="F253" s="5"/>
      <c r="H253" s="5"/>
      <c r="K253" s="5"/>
      <c r="L253" s="5"/>
      <c r="M253" s="5"/>
      <c r="N253" s="5"/>
    </row>
    <row r="254" spans="6:14" x14ac:dyDescent="0.25">
      <c r="F254" s="5"/>
      <c r="H254" s="5"/>
      <c r="K254" s="5"/>
      <c r="L254" s="5"/>
      <c r="M254" s="5"/>
      <c r="N254" s="5"/>
    </row>
    <row r="255" spans="6:14" x14ac:dyDescent="0.25">
      <c r="F255" s="5"/>
      <c r="H255" s="5"/>
      <c r="K255" s="5"/>
      <c r="L255" s="5"/>
      <c r="M255" s="5"/>
      <c r="N255" s="5"/>
    </row>
    <row r="256" spans="6:14" x14ac:dyDescent="0.25">
      <c r="F256" s="5"/>
      <c r="H256" s="5"/>
      <c r="K256" s="5"/>
      <c r="L256" s="5"/>
      <c r="M256" s="5"/>
      <c r="N256" s="5"/>
    </row>
    <row r="257" spans="6:14" x14ac:dyDescent="0.25">
      <c r="F257" s="5"/>
      <c r="H257" s="5"/>
      <c r="K257" s="5"/>
      <c r="L257" s="5"/>
      <c r="M257" s="5"/>
      <c r="N257" s="5"/>
    </row>
    <row r="258" spans="6:14" x14ac:dyDescent="0.25">
      <c r="F258" s="5"/>
      <c r="H258" s="5"/>
      <c r="K258" s="5"/>
      <c r="L258" s="5"/>
      <c r="M258" s="5"/>
      <c r="N258" s="5"/>
    </row>
    <row r="259" spans="6:14" x14ac:dyDescent="0.25">
      <c r="F259" s="5"/>
      <c r="H259" s="5"/>
      <c r="K259" s="5"/>
      <c r="L259" s="5"/>
      <c r="M259" s="5"/>
      <c r="N259" s="5"/>
    </row>
    <row r="260" spans="6:14" x14ac:dyDescent="0.25">
      <c r="F260" s="5"/>
      <c r="H260" s="5"/>
      <c r="K260" s="5"/>
      <c r="L260" s="5"/>
      <c r="M260" s="5"/>
      <c r="N260" s="5"/>
    </row>
    <row r="261" spans="6:14" x14ac:dyDescent="0.25">
      <c r="F261" s="5"/>
      <c r="H261" s="5"/>
      <c r="K261" s="5"/>
      <c r="L261" s="5"/>
      <c r="M261" s="5"/>
      <c r="N261" s="5"/>
    </row>
    <row r="262" spans="6:14" x14ac:dyDescent="0.25">
      <c r="F262" s="5"/>
      <c r="H262" s="5"/>
      <c r="K262" s="5"/>
      <c r="L262" s="5"/>
      <c r="M262" s="5"/>
      <c r="N262" s="5"/>
    </row>
    <row r="263" spans="6:14" x14ac:dyDescent="0.25">
      <c r="F263" s="5"/>
      <c r="H263" s="5"/>
      <c r="K263" s="5"/>
      <c r="L263" s="5"/>
      <c r="M263" s="5"/>
      <c r="N263" s="5"/>
    </row>
    <row r="264" spans="6:14" x14ac:dyDescent="0.25">
      <c r="F264" s="5"/>
      <c r="H264" s="5"/>
      <c r="K264" s="5"/>
      <c r="L264" s="5"/>
      <c r="M264" s="5"/>
      <c r="N264" s="5"/>
    </row>
    <row r="265" spans="6:14" x14ac:dyDescent="0.25">
      <c r="F265" s="5"/>
      <c r="H265" s="5"/>
      <c r="K265" s="5"/>
      <c r="L265" s="5"/>
      <c r="M265" s="5"/>
      <c r="N265" s="5"/>
    </row>
    <row r="266" spans="6:14" x14ac:dyDescent="0.25">
      <c r="F266" s="5"/>
      <c r="H266" s="5"/>
      <c r="K266" s="5"/>
      <c r="L266" s="5"/>
      <c r="M266" s="5"/>
      <c r="N266" s="5"/>
    </row>
    <row r="267" spans="6:14" x14ac:dyDescent="0.25">
      <c r="F267" s="5"/>
      <c r="H267" s="5"/>
      <c r="K267" s="5"/>
      <c r="L267" s="5"/>
      <c r="M267" s="5"/>
      <c r="N267" s="5"/>
    </row>
    <row r="268" spans="6:14" x14ac:dyDescent="0.25">
      <c r="F268" s="5"/>
      <c r="H268" s="5"/>
      <c r="K268" s="5"/>
      <c r="L268" s="5"/>
      <c r="M268" s="5"/>
      <c r="N268" s="5"/>
    </row>
    <row r="269" spans="6:14" x14ac:dyDescent="0.25">
      <c r="F269" s="5"/>
      <c r="H269" s="5"/>
      <c r="K269" s="5"/>
      <c r="L269" s="5"/>
      <c r="M269" s="5"/>
      <c r="N269" s="5"/>
    </row>
    <row r="270" spans="6:14" x14ac:dyDescent="0.25">
      <c r="F270" s="5"/>
      <c r="H270" s="5"/>
      <c r="K270" s="5"/>
      <c r="L270" s="5"/>
      <c r="M270" s="5"/>
      <c r="N270" s="5"/>
    </row>
    <row r="271" spans="6:14" x14ac:dyDescent="0.25">
      <c r="F271" s="5"/>
      <c r="H271" s="5"/>
      <c r="K271" s="5"/>
      <c r="L271" s="5"/>
      <c r="M271" s="5"/>
      <c r="N271" s="5"/>
    </row>
    <row r="272" spans="6:14" x14ac:dyDescent="0.25">
      <c r="F272" s="5"/>
      <c r="H272" s="5"/>
      <c r="K272" s="5"/>
      <c r="L272" s="5"/>
      <c r="M272" s="5"/>
      <c r="N272" s="5"/>
    </row>
    <row r="273" spans="6:14" x14ac:dyDescent="0.25">
      <c r="F273" s="5"/>
      <c r="H273" s="5"/>
      <c r="K273" s="5"/>
      <c r="L273" s="5"/>
      <c r="M273" s="5"/>
      <c r="N273" s="5"/>
    </row>
    <row r="274" spans="6:14" x14ac:dyDescent="0.25">
      <c r="F274" s="5"/>
      <c r="H274" s="5"/>
      <c r="K274" s="5"/>
      <c r="L274" s="5"/>
      <c r="M274" s="5"/>
      <c r="N274" s="5"/>
    </row>
    <row r="275" spans="6:14" x14ac:dyDescent="0.25">
      <c r="F275" s="5"/>
      <c r="H275" s="5"/>
      <c r="K275" s="5"/>
      <c r="L275" s="5"/>
      <c r="M275" s="5"/>
      <c r="N275" s="5"/>
    </row>
    <row r="276" spans="6:14" x14ac:dyDescent="0.25">
      <c r="F276" s="5"/>
      <c r="H276" s="5"/>
      <c r="K276" s="5"/>
      <c r="L276" s="5"/>
      <c r="M276" s="5"/>
      <c r="N276" s="5"/>
    </row>
    <row r="277" spans="6:14" x14ac:dyDescent="0.25">
      <c r="F277" s="5"/>
      <c r="H277" s="5"/>
      <c r="K277" s="5"/>
      <c r="L277" s="5"/>
      <c r="M277" s="5"/>
      <c r="N277" s="5"/>
    </row>
    <row r="278" spans="6:14" x14ac:dyDescent="0.25">
      <c r="F278" s="5"/>
      <c r="H278" s="5"/>
      <c r="K278" s="5"/>
      <c r="L278" s="5"/>
      <c r="M278" s="5"/>
      <c r="N278" s="5"/>
    </row>
    <row r="279" spans="6:14" x14ac:dyDescent="0.25">
      <c r="F279" s="5"/>
      <c r="H279" s="5"/>
      <c r="K279" s="5"/>
      <c r="L279" s="5"/>
      <c r="M279" s="5"/>
      <c r="N279" s="5"/>
    </row>
    <row r="280" spans="6:14" x14ac:dyDescent="0.25">
      <c r="F280" s="5"/>
      <c r="H280" s="5"/>
      <c r="K280" s="5"/>
      <c r="L280" s="5"/>
      <c r="M280" s="5"/>
      <c r="N280" s="5"/>
    </row>
    <row r="281" spans="6:14" x14ac:dyDescent="0.25">
      <c r="F281" s="5"/>
      <c r="H281" s="5"/>
      <c r="K281" s="5"/>
      <c r="L281" s="5"/>
      <c r="M281" s="5"/>
      <c r="N281" s="5"/>
    </row>
    <row r="282" spans="6:14" x14ac:dyDescent="0.25">
      <c r="F282" s="5"/>
      <c r="H282" s="5"/>
      <c r="K282" s="5"/>
      <c r="L282" s="5"/>
      <c r="M282" s="5"/>
      <c r="N282" s="5"/>
    </row>
    <row r="283" spans="6:14" x14ac:dyDescent="0.25">
      <c r="F283" s="5"/>
      <c r="H283" s="5"/>
      <c r="K283" s="5"/>
      <c r="L283" s="5"/>
      <c r="M283" s="5"/>
      <c r="N283" s="5"/>
    </row>
    <row r="284" spans="6:14" x14ac:dyDescent="0.25">
      <c r="F284" s="5"/>
      <c r="H284" s="5"/>
      <c r="K284" s="5"/>
      <c r="L284" s="5"/>
      <c r="M284" s="5"/>
      <c r="N284" s="5"/>
    </row>
    <row r="285" spans="6:14" x14ac:dyDescent="0.25">
      <c r="F285" s="5"/>
      <c r="H285" s="5"/>
      <c r="K285" s="5"/>
      <c r="L285" s="5"/>
      <c r="M285" s="5"/>
      <c r="N285" s="5"/>
    </row>
    <row r="286" spans="6:14" x14ac:dyDescent="0.25">
      <c r="F286" s="5"/>
      <c r="H286" s="5"/>
      <c r="K286" s="5"/>
      <c r="L286" s="5"/>
      <c r="M286" s="5"/>
      <c r="N286" s="5"/>
    </row>
    <row r="287" spans="6:14" x14ac:dyDescent="0.25">
      <c r="F287" s="5"/>
      <c r="H287" s="5"/>
      <c r="K287" s="5"/>
      <c r="L287" s="5"/>
      <c r="M287" s="5"/>
      <c r="N287" s="5"/>
    </row>
    <row r="288" spans="6:14" x14ac:dyDescent="0.25">
      <c r="F288" s="5"/>
      <c r="H288" s="5"/>
      <c r="K288" s="5"/>
      <c r="L288" s="5"/>
      <c r="M288" s="5"/>
      <c r="N288" s="5"/>
    </row>
    <row r="289" spans="6:14" x14ac:dyDescent="0.25">
      <c r="F289" s="5"/>
      <c r="H289" s="5"/>
      <c r="K289" s="5"/>
      <c r="L289" s="5"/>
      <c r="M289" s="5"/>
      <c r="N289" s="5"/>
    </row>
    <row r="290" spans="6:14" x14ac:dyDescent="0.25">
      <c r="F290" s="5"/>
      <c r="H290" s="5"/>
      <c r="K290" s="5"/>
      <c r="L290" s="5"/>
      <c r="M290" s="5"/>
      <c r="N290" s="5"/>
    </row>
    <row r="291" spans="6:14" x14ac:dyDescent="0.25">
      <c r="F291" s="5"/>
      <c r="H291" s="5"/>
      <c r="K291" s="5"/>
      <c r="L291" s="5"/>
      <c r="M291" s="5"/>
      <c r="N291" s="5"/>
    </row>
    <row r="292" spans="6:14" x14ac:dyDescent="0.25">
      <c r="F292" s="5"/>
      <c r="H292" s="5"/>
      <c r="K292" s="5"/>
      <c r="L292" s="5"/>
      <c r="M292" s="5"/>
      <c r="N292" s="5"/>
    </row>
    <row r="293" spans="6:14" x14ac:dyDescent="0.25">
      <c r="F293" s="5"/>
      <c r="H293" s="5"/>
      <c r="K293" s="5"/>
      <c r="L293" s="5"/>
      <c r="M293" s="5"/>
      <c r="N293" s="5"/>
    </row>
    <row r="294" spans="6:14" x14ac:dyDescent="0.25">
      <c r="F294" s="5"/>
      <c r="H294" s="5"/>
      <c r="K294" s="5"/>
      <c r="L294" s="5"/>
      <c r="M294" s="5"/>
      <c r="N294" s="5"/>
    </row>
    <row r="295" spans="6:14" x14ac:dyDescent="0.25">
      <c r="F295" s="5"/>
      <c r="H295" s="5"/>
      <c r="K295" s="5"/>
      <c r="L295" s="5"/>
      <c r="M295" s="5"/>
      <c r="N295" s="5"/>
    </row>
    <row r="296" spans="6:14" x14ac:dyDescent="0.25">
      <c r="F296" s="5"/>
      <c r="H296" s="5"/>
      <c r="K296" s="5"/>
      <c r="L296" s="5"/>
      <c r="M296" s="5"/>
      <c r="N296" s="5"/>
    </row>
    <row r="297" spans="6:14" x14ac:dyDescent="0.25">
      <c r="F297" s="5"/>
      <c r="H297" s="5"/>
      <c r="K297" s="5"/>
      <c r="L297" s="5"/>
      <c r="M297" s="5"/>
      <c r="N297" s="5"/>
    </row>
    <row r="298" spans="6:14" x14ac:dyDescent="0.25">
      <c r="F298" s="5"/>
      <c r="H298" s="5"/>
      <c r="K298" s="5"/>
      <c r="L298" s="5"/>
      <c r="M298" s="5"/>
      <c r="N298" s="5"/>
    </row>
    <row r="299" spans="6:14" x14ac:dyDescent="0.25">
      <c r="F299" s="5"/>
      <c r="H299" s="5"/>
      <c r="K299" s="5"/>
      <c r="L299" s="5"/>
      <c r="M299" s="5"/>
      <c r="N299" s="5"/>
    </row>
    <row r="300" spans="6:14" x14ac:dyDescent="0.25">
      <c r="F300" s="5"/>
      <c r="H300" s="5"/>
      <c r="K300" s="5"/>
      <c r="L300" s="5"/>
      <c r="M300" s="5"/>
      <c r="N300" s="5"/>
    </row>
    <row r="301" spans="6:14" x14ac:dyDescent="0.25">
      <c r="F301" s="5"/>
      <c r="H301" s="5"/>
      <c r="K301" s="5"/>
      <c r="L301" s="5"/>
      <c r="M301" s="5"/>
      <c r="N301" s="5"/>
    </row>
    <row r="302" spans="6:14" x14ac:dyDescent="0.25">
      <c r="F302" s="5"/>
      <c r="H302" s="5"/>
      <c r="K302" s="5"/>
      <c r="L302" s="5"/>
      <c r="M302" s="5"/>
      <c r="N302" s="5"/>
    </row>
    <row r="303" spans="6:14" x14ac:dyDescent="0.25">
      <c r="F303" s="5"/>
      <c r="H303" s="5"/>
      <c r="K303" s="5"/>
      <c r="L303" s="5"/>
      <c r="M303" s="5"/>
      <c r="N303" s="5"/>
    </row>
    <row r="304" spans="6:14" x14ac:dyDescent="0.25">
      <c r="F304" s="5"/>
      <c r="H304" s="5"/>
      <c r="K304" s="5"/>
      <c r="L304" s="5"/>
      <c r="M304" s="5"/>
      <c r="N304" s="5"/>
    </row>
    <row r="305" spans="6:14" x14ac:dyDescent="0.25">
      <c r="F305" s="5"/>
      <c r="H305" s="5"/>
      <c r="K305" s="5"/>
      <c r="L305" s="5"/>
      <c r="M305" s="5"/>
      <c r="N305" s="5"/>
    </row>
    <row r="306" spans="6:14" x14ac:dyDescent="0.25">
      <c r="F306" s="5"/>
      <c r="H306" s="5"/>
      <c r="K306" s="5"/>
      <c r="L306" s="5"/>
      <c r="M306" s="5"/>
      <c r="N306" s="5"/>
    </row>
    <row r="307" spans="6:14" x14ac:dyDescent="0.25">
      <c r="F307" s="5"/>
      <c r="H307" s="5"/>
      <c r="K307" s="5"/>
      <c r="L307" s="5"/>
      <c r="M307" s="5"/>
      <c r="N307" s="5"/>
    </row>
    <row r="308" spans="6:14" x14ac:dyDescent="0.25">
      <c r="F308" s="5"/>
      <c r="H308" s="5"/>
      <c r="K308" s="5"/>
      <c r="L308" s="5"/>
      <c r="M308" s="5"/>
      <c r="N308" s="5"/>
    </row>
    <row r="309" spans="6:14" x14ac:dyDescent="0.25">
      <c r="F309" s="5"/>
      <c r="H309" s="5"/>
      <c r="K309" s="5"/>
      <c r="L309" s="5"/>
      <c r="M309" s="5"/>
      <c r="N309" s="5"/>
    </row>
    <row r="310" spans="6:14" x14ac:dyDescent="0.25">
      <c r="F310" s="5"/>
      <c r="H310" s="5"/>
      <c r="K310" s="5"/>
      <c r="L310" s="5"/>
      <c r="M310" s="5"/>
      <c r="N310" s="5"/>
    </row>
    <row r="311" spans="6:14" x14ac:dyDescent="0.25">
      <c r="F311" s="5"/>
      <c r="H311" s="5"/>
      <c r="K311" s="5"/>
      <c r="L311" s="5"/>
      <c r="M311" s="5"/>
      <c r="N311" s="5"/>
    </row>
    <row r="312" spans="6:14" x14ac:dyDescent="0.25">
      <c r="F312" s="5"/>
      <c r="H312" s="5"/>
      <c r="K312" s="5"/>
      <c r="L312" s="5"/>
      <c r="M312" s="5"/>
      <c r="N312" s="5"/>
    </row>
    <row r="313" spans="6:14" x14ac:dyDescent="0.25">
      <c r="F313" s="5"/>
      <c r="H313" s="5"/>
      <c r="K313" s="5"/>
      <c r="L313" s="5"/>
      <c r="M313" s="5"/>
      <c r="N313" s="5"/>
    </row>
    <row r="314" spans="6:14" x14ac:dyDescent="0.25">
      <c r="F314" s="5"/>
      <c r="H314" s="5"/>
      <c r="K314" s="5"/>
      <c r="L314" s="5"/>
      <c r="M314" s="5"/>
      <c r="N314" s="5"/>
    </row>
    <row r="315" spans="6:14" x14ac:dyDescent="0.25">
      <c r="F315" s="5"/>
      <c r="H315" s="5"/>
      <c r="K315" s="5"/>
      <c r="L315" s="5"/>
      <c r="M315" s="5"/>
      <c r="N315" s="5"/>
    </row>
    <row r="316" spans="6:14" x14ac:dyDescent="0.25">
      <c r="F316" s="5"/>
      <c r="H316" s="5"/>
      <c r="K316" s="5"/>
      <c r="L316" s="5"/>
      <c r="M316" s="5"/>
      <c r="N316" s="5"/>
    </row>
    <row r="317" spans="6:14" x14ac:dyDescent="0.25">
      <c r="F317" s="5"/>
      <c r="H317" s="5"/>
      <c r="K317" s="5"/>
      <c r="L317" s="5"/>
      <c r="M317" s="5"/>
      <c r="N317" s="5"/>
    </row>
    <row r="318" spans="6:14" x14ac:dyDescent="0.25">
      <c r="F318" s="5"/>
      <c r="H318" s="5"/>
      <c r="K318" s="5"/>
      <c r="L318" s="5"/>
      <c r="M318" s="5"/>
      <c r="N318" s="5"/>
    </row>
    <row r="319" spans="6:14" x14ac:dyDescent="0.25">
      <c r="F319" s="5"/>
      <c r="H319" s="5"/>
      <c r="K319" s="5"/>
      <c r="L319" s="5"/>
      <c r="M319" s="5"/>
      <c r="N319" s="5"/>
    </row>
    <row r="320" spans="6:14" x14ac:dyDescent="0.25">
      <c r="F320" s="5"/>
      <c r="H320" s="5"/>
      <c r="K320" s="5"/>
      <c r="L320" s="5"/>
      <c r="M320" s="5"/>
      <c r="N320" s="5"/>
    </row>
    <row r="321" spans="6:14" x14ac:dyDescent="0.25">
      <c r="F321" s="5"/>
      <c r="H321" s="5"/>
      <c r="K321" s="5"/>
      <c r="L321" s="5"/>
      <c r="M321" s="5"/>
      <c r="N321" s="5"/>
    </row>
    <row r="322" spans="6:14" x14ac:dyDescent="0.25">
      <c r="F322" s="5"/>
      <c r="H322" s="5"/>
      <c r="K322" s="5"/>
      <c r="L322" s="5"/>
      <c r="M322" s="5"/>
      <c r="N322" s="5"/>
    </row>
    <row r="323" spans="6:14" x14ac:dyDescent="0.25">
      <c r="F323" s="5"/>
      <c r="H323" s="5"/>
      <c r="K323" s="5"/>
      <c r="L323" s="5"/>
      <c r="M323" s="5"/>
      <c r="N323" s="5"/>
    </row>
    <row r="324" spans="6:14" x14ac:dyDescent="0.25">
      <c r="F324" s="5"/>
      <c r="H324" s="5"/>
      <c r="K324" s="5"/>
      <c r="L324" s="5"/>
      <c r="M324" s="5"/>
      <c r="N324" s="5"/>
    </row>
    <row r="325" spans="6:14" x14ac:dyDescent="0.25">
      <c r="F325" s="5"/>
      <c r="H325" s="5"/>
      <c r="K325" s="5"/>
      <c r="L325" s="5"/>
      <c r="M325" s="5"/>
      <c r="N325" s="5"/>
    </row>
    <row r="326" spans="6:14" x14ac:dyDescent="0.25">
      <c r="F326" s="5"/>
      <c r="H326" s="5"/>
      <c r="K326" s="5"/>
      <c r="L326" s="5"/>
      <c r="M326" s="5"/>
      <c r="N326" s="5"/>
    </row>
    <row r="327" spans="6:14" x14ac:dyDescent="0.25">
      <c r="F327" s="5"/>
      <c r="H327" s="5"/>
      <c r="K327" s="5"/>
      <c r="L327" s="5"/>
      <c r="M327" s="5"/>
      <c r="N327" s="5"/>
    </row>
    <row r="328" spans="6:14" x14ac:dyDescent="0.25">
      <c r="F328" s="5"/>
      <c r="H328" s="5"/>
      <c r="K328" s="5"/>
      <c r="L328" s="5"/>
      <c r="M328" s="5"/>
      <c r="N328" s="5"/>
    </row>
    <row r="329" spans="6:14" x14ac:dyDescent="0.25">
      <c r="F329" s="5"/>
      <c r="H329" s="5"/>
      <c r="K329" s="5"/>
      <c r="L329" s="5"/>
      <c r="M329" s="5"/>
      <c r="N329" s="5"/>
    </row>
    <row r="330" spans="6:14" x14ac:dyDescent="0.25">
      <c r="F330" s="5"/>
      <c r="H330" s="5"/>
      <c r="K330" s="5"/>
      <c r="L330" s="5"/>
      <c r="M330" s="5"/>
      <c r="N330" s="5"/>
    </row>
    <row r="331" spans="6:14" x14ac:dyDescent="0.25">
      <c r="F331" s="5"/>
      <c r="H331" s="5"/>
      <c r="K331" s="5"/>
      <c r="L331" s="5"/>
      <c r="M331" s="5"/>
      <c r="N331" s="5"/>
    </row>
    <row r="332" spans="6:14" x14ac:dyDescent="0.25">
      <c r="F332" s="5"/>
      <c r="H332" s="5"/>
      <c r="K332" s="5"/>
      <c r="L332" s="5"/>
      <c r="M332" s="5"/>
      <c r="N332" s="5"/>
    </row>
    <row r="333" spans="6:14" x14ac:dyDescent="0.25">
      <c r="F333" s="5"/>
      <c r="H333" s="5"/>
      <c r="K333" s="5"/>
      <c r="L333" s="5"/>
      <c r="M333" s="5"/>
      <c r="N333" s="5"/>
    </row>
    <row r="334" spans="6:14" x14ac:dyDescent="0.25">
      <c r="F334" s="5"/>
      <c r="H334" s="5"/>
      <c r="K334" s="5"/>
      <c r="L334" s="5"/>
      <c r="M334" s="5"/>
      <c r="N334" s="5"/>
    </row>
    <row r="335" spans="6:14" x14ac:dyDescent="0.25">
      <c r="F335" s="5"/>
      <c r="H335" s="5"/>
      <c r="K335" s="5"/>
      <c r="L335" s="5"/>
      <c r="M335" s="5"/>
      <c r="N335" s="5"/>
    </row>
    <row r="336" spans="6:14" x14ac:dyDescent="0.25">
      <c r="F336" s="5"/>
      <c r="H336" s="5"/>
      <c r="K336" s="5"/>
      <c r="L336" s="5"/>
      <c r="M336" s="5"/>
      <c r="N336" s="5"/>
    </row>
    <row r="337" spans="6:14" x14ac:dyDescent="0.25">
      <c r="F337" s="5"/>
      <c r="H337" s="5"/>
      <c r="K337" s="5"/>
      <c r="L337" s="5"/>
      <c r="M337" s="5"/>
      <c r="N337" s="5"/>
    </row>
    <row r="338" spans="6:14" x14ac:dyDescent="0.25">
      <c r="F338" s="5"/>
      <c r="H338" s="5"/>
      <c r="K338" s="5"/>
      <c r="L338" s="5"/>
      <c r="M338" s="5"/>
      <c r="N338" s="5"/>
    </row>
    <row r="339" spans="6:14" x14ac:dyDescent="0.25">
      <c r="F339" s="5"/>
      <c r="H339" s="5"/>
      <c r="K339" s="5"/>
      <c r="L339" s="5"/>
      <c r="M339" s="5"/>
      <c r="N339" s="5"/>
    </row>
    <row r="340" spans="6:14" x14ac:dyDescent="0.25">
      <c r="F340" s="5"/>
      <c r="H340" s="5"/>
      <c r="K340" s="5"/>
      <c r="L340" s="5"/>
      <c r="M340" s="5"/>
      <c r="N340" s="5"/>
    </row>
    <row r="341" spans="6:14" x14ac:dyDescent="0.25">
      <c r="F341" s="5"/>
      <c r="H341" s="5"/>
      <c r="K341" s="5"/>
      <c r="L341" s="5"/>
      <c r="M341" s="5"/>
      <c r="N341" s="5"/>
    </row>
    <row r="342" spans="6:14" x14ac:dyDescent="0.25">
      <c r="F342" s="5"/>
      <c r="H342" s="5"/>
      <c r="K342" s="5"/>
      <c r="L342" s="5"/>
      <c r="M342" s="5"/>
      <c r="N342" s="5"/>
    </row>
    <row r="343" spans="6:14" x14ac:dyDescent="0.25">
      <c r="F343" s="5"/>
      <c r="H343" s="5"/>
      <c r="K343" s="5"/>
      <c r="L343" s="5"/>
      <c r="M343" s="5"/>
      <c r="N343" s="5"/>
    </row>
    <row r="344" spans="6:14" x14ac:dyDescent="0.25">
      <c r="F344" s="5"/>
      <c r="H344" s="5"/>
      <c r="K344" s="5"/>
      <c r="L344" s="5"/>
      <c r="M344" s="5"/>
      <c r="N344" s="5"/>
    </row>
    <row r="345" spans="6:14" x14ac:dyDescent="0.25">
      <c r="F345" s="5"/>
      <c r="H345" s="5"/>
      <c r="K345" s="5"/>
      <c r="L345" s="5"/>
      <c r="M345" s="5"/>
      <c r="N345" s="5"/>
    </row>
    <row r="346" spans="6:14" x14ac:dyDescent="0.25">
      <c r="F346" s="5"/>
      <c r="H346" s="5"/>
      <c r="K346" s="5"/>
      <c r="L346" s="5"/>
      <c r="M346" s="5"/>
      <c r="N346" s="5"/>
    </row>
    <row r="347" spans="6:14" x14ac:dyDescent="0.25">
      <c r="F347" s="5"/>
      <c r="H347" s="5"/>
      <c r="K347" s="5"/>
      <c r="L347" s="5"/>
      <c r="M347" s="5"/>
      <c r="N347" s="5"/>
    </row>
    <row r="348" spans="6:14" x14ac:dyDescent="0.25">
      <c r="F348" s="5"/>
      <c r="H348" s="5"/>
      <c r="K348" s="5"/>
      <c r="L348" s="5"/>
      <c r="M348" s="5"/>
      <c r="N348" s="5"/>
    </row>
    <row r="349" spans="6:14" x14ac:dyDescent="0.25">
      <c r="F349" s="5"/>
      <c r="H349" s="5"/>
      <c r="K349" s="5"/>
      <c r="L349" s="5"/>
      <c r="M349" s="5"/>
      <c r="N349" s="5"/>
    </row>
    <row r="350" spans="6:14" x14ac:dyDescent="0.25">
      <c r="F350" s="5"/>
      <c r="H350" s="5"/>
      <c r="K350" s="5"/>
      <c r="L350" s="5"/>
      <c r="M350" s="5"/>
      <c r="N350" s="5"/>
    </row>
    <row r="351" spans="6:14" x14ac:dyDescent="0.25">
      <c r="F351" s="5"/>
      <c r="H351" s="5"/>
      <c r="K351" s="5"/>
      <c r="L351" s="5"/>
      <c r="M351" s="5"/>
      <c r="N351" s="5"/>
    </row>
    <row r="352" spans="6:14" x14ac:dyDescent="0.25">
      <c r="F352" s="5"/>
      <c r="H352" s="5"/>
      <c r="K352" s="5"/>
      <c r="L352" s="5"/>
      <c r="M352" s="5"/>
      <c r="N352" s="5"/>
    </row>
    <row r="353" spans="6:14" x14ac:dyDescent="0.25">
      <c r="F353" s="5"/>
      <c r="H353" s="5"/>
      <c r="K353" s="5"/>
      <c r="L353" s="5"/>
      <c r="M353" s="5"/>
      <c r="N353" s="5"/>
    </row>
    <row r="354" spans="6:14" x14ac:dyDescent="0.25">
      <c r="F354" s="5"/>
      <c r="H354" s="5"/>
      <c r="K354" s="5"/>
      <c r="L354" s="5"/>
      <c r="M354" s="5"/>
      <c r="N354" s="5"/>
    </row>
    <row r="355" spans="6:14" x14ac:dyDescent="0.25">
      <c r="F355" s="5"/>
      <c r="H355" s="5"/>
      <c r="K355" s="5"/>
      <c r="L355" s="5"/>
      <c r="M355" s="5"/>
      <c r="N355" s="5"/>
    </row>
    <row r="356" spans="6:14" x14ac:dyDescent="0.25">
      <c r="F356" s="5"/>
      <c r="H356" s="5"/>
      <c r="K356" s="5"/>
      <c r="L356" s="5"/>
      <c r="M356" s="5"/>
      <c r="N356" s="5"/>
    </row>
    <row r="357" spans="6:14" x14ac:dyDescent="0.25">
      <c r="F357" s="5"/>
      <c r="H357" s="5"/>
      <c r="K357" s="5"/>
      <c r="L357" s="5"/>
      <c r="M357" s="5"/>
      <c r="N357" s="5"/>
    </row>
    <row r="358" spans="6:14" x14ac:dyDescent="0.25">
      <c r="F358" s="5"/>
      <c r="H358" s="5"/>
      <c r="K358" s="5"/>
      <c r="L358" s="5"/>
      <c r="M358" s="5"/>
      <c r="N358" s="5"/>
    </row>
    <row r="359" spans="6:14" x14ac:dyDescent="0.25">
      <c r="F359" s="5"/>
      <c r="H359" s="5"/>
      <c r="K359" s="5"/>
      <c r="L359" s="5"/>
      <c r="M359" s="5"/>
      <c r="N359" s="5"/>
    </row>
    <row r="360" spans="6:14" x14ac:dyDescent="0.25">
      <c r="F360" s="5"/>
      <c r="H360" s="5"/>
      <c r="K360" s="5"/>
      <c r="L360" s="5"/>
      <c r="M360" s="5"/>
      <c r="N360" s="5"/>
    </row>
    <row r="361" spans="6:14" x14ac:dyDescent="0.25">
      <c r="F361" s="5"/>
      <c r="H361" s="5"/>
      <c r="K361" s="5"/>
      <c r="L361" s="5"/>
      <c r="M361" s="5"/>
      <c r="N361" s="5"/>
    </row>
    <row r="362" spans="6:14" x14ac:dyDescent="0.25">
      <c r="F362" s="5"/>
      <c r="H362" s="5"/>
      <c r="K362" s="5"/>
      <c r="L362" s="5"/>
      <c r="M362" s="5"/>
      <c r="N362" s="5"/>
    </row>
    <row r="363" spans="6:14" x14ac:dyDescent="0.25">
      <c r="F363" s="5"/>
      <c r="H363" s="5"/>
      <c r="K363" s="5"/>
      <c r="L363" s="5"/>
      <c r="M363" s="5"/>
      <c r="N363" s="5"/>
    </row>
    <row r="364" spans="6:14" x14ac:dyDescent="0.25">
      <c r="F364" s="5"/>
      <c r="H364" s="5"/>
      <c r="K364" s="5"/>
      <c r="L364" s="5"/>
      <c r="M364" s="5"/>
      <c r="N364" s="5"/>
    </row>
    <row r="365" spans="6:14" x14ac:dyDescent="0.25">
      <c r="F365" s="5"/>
      <c r="H365" s="5"/>
      <c r="K365" s="5"/>
      <c r="L365" s="5"/>
      <c r="M365" s="5"/>
      <c r="N365" s="5"/>
    </row>
    <row r="366" spans="6:14" x14ac:dyDescent="0.25">
      <c r="F366" s="5"/>
      <c r="H366" s="5"/>
      <c r="K366" s="5"/>
      <c r="L366" s="5"/>
      <c r="M366" s="5"/>
      <c r="N366" s="5"/>
    </row>
    <row r="367" spans="6:14" x14ac:dyDescent="0.25">
      <c r="F367" s="5"/>
      <c r="H367" s="5"/>
      <c r="K367" s="5"/>
      <c r="L367" s="5"/>
      <c r="M367" s="5"/>
      <c r="N367" s="5"/>
    </row>
    <row r="368" spans="6:14" x14ac:dyDescent="0.25">
      <c r="F368" s="5"/>
      <c r="H368" s="5"/>
      <c r="K368" s="5"/>
      <c r="L368" s="5"/>
      <c r="M368" s="5"/>
      <c r="N368" s="5"/>
    </row>
    <row r="369" spans="6:14" x14ac:dyDescent="0.25">
      <c r="F369" s="5"/>
      <c r="H369" s="5"/>
      <c r="K369" s="5"/>
      <c r="L369" s="5"/>
      <c r="M369" s="5"/>
      <c r="N369" s="5"/>
    </row>
    <row r="370" spans="6:14" x14ac:dyDescent="0.25">
      <c r="F370" s="5"/>
      <c r="H370" s="5"/>
      <c r="K370" s="5"/>
      <c r="L370" s="5"/>
      <c r="M370" s="5"/>
      <c r="N370" s="5"/>
    </row>
    <row r="371" spans="6:14" x14ac:dyDescent="0.25">
      <c r="F371" s="5"/>
      <c r="H371" s="5"/>
      <c r="K371" s="5"/>
      <c r="L371" s="5"/>
      <c r="M371" s="5"/>
      <c r="N371" s="5"/>
    </row>
    <row r="372" spans="6:14" x14ac:dyDescent="0.25">
      <c r="F372" s="5"/>
      <c r="H372" s="5"/>
      <c r="K372" s="5"/>
      <c r="L372" s="5"/>
      <c r="M372" s="5"/>
      <c r="N372" s="5"/>
    </row>
    <row r="373" spans="6:14" x14ac:dyDescent="0.25">
      <c r="F373" s="5"/>
      <c r="H373" s="5"/>
      <c r="K373" s="5"/>
      <c r="L373" s="5"/>
      <c r="M373" s="5"/>
      <c r="N373" s="5"/>
    </row>
    <row r="374" spans="6:14" x14ac:dyDescent="0.25">
      <c r="F374" s="5"/>
      <c r="H374" s="5"/>
      <c r="K374" s="5"/>
      <c r="L374" s="5"/>
      <c r="M374" s="5"/>
      <c r="N374" s="5"/>
    </row>
    <row r="375" spans="6:14" x14ac:dyDescent="0.25">
      <c r="F375" s="5"/>
      <c r="H375" s="5"/>
      <c r="K375" s="5"/>
      <c r="L375" s="5"/>
      <c r="M375" s="5"/>
      <c r="N375" s="5"/>
    </row>
    <row r="376" spans="6:14" x14ac:dyDescent="0.25">
      <c r="F376" s="5"/>
      <c r="H376" s="5"/>
      <c r="K376" s="5"/>
      <c r="L376" s="5"/>
      <c r="M376" s="5"/>
      <c r="N376" s="5"/>
    </row>
    <row r="377" spans="6:14" x14ac:dyDescent="0.25">
      <c r="F377" s="5"/>
      <c r="H377" s="5"/>
      <c r="K377" s="5"/>
      <c r="L377" s="5"/>
      <c r="M377" s="5"/>
      <c r="N377" s="5"/>
    </row>
    <row r="378" spans="6:14" x14ac:dyDescent="0.25">
      <c r="F378" s="5"/>
      <c r="H378" s="5"/>
      <c r="K378" s="5"/>
      <c r="L378" s="5"/>
      <c r="M378" s="5"/>
      <c r="N378" s="5"/>
    </row>
    <row r="379" spans="6:14" x14ac:dyDescent="0.25">
      <c r="F379" s="5"/>
      <c r="H379" s="5"/>
      <c r="K379" s="5"/>
      <c r="L379" s="5"/>
      <c r="M379" s="5"/>
      <c r="N379" s="5"/>
    </row>
    <row r="380" spans="6:14" x14ac:dyDescent="0.25">
      <c r="F380" s="5"/>
      <c r="H380" s="5"/>
      <c r="K380" s="5"/>
      <c r="L380" s="5"/>
      <c r="M380" s="5"/>
      <c r="N380" s="5"/>
    </row>
    <row r="381" spans="6:14" x14ac:dyDescent="0.25">
      <c r="F381" s="5"/>
      <c r="H381" s="5"/>
      <c r="K381" s="5"/>
      <c r="L381" s="5"/>
      <c r="M381" s="5"/>
      <c r="N381" s="5"/>
    </row>
    <row r="382" spans="6:14" x14ac:dyDescent="0.25">
      <c r="F382" s="5"/>
      <c r="H382" s="5"/>
      <c r="K382" s="5"/>
      <c r="L382" s="5"/>
      <c r="M382" s="5"/>
      <c r="N382" s="5"/>
    </row>
    <row r="383" spans="6:14" x14ac:dyDescent="0.25">
      <c r="F383" s="5"/>
      <c r="H383" s="5"/>
      <c r="K383" s="5"/>
      <c r="L383" s="5"/>
      <c r="M383" s="5"/>
      <c r="N383" s="5"/>
    </row>
    <row r="384" spans="6:14" x14ac:dyDescent="0.25">
      <c r="F384" s="5"/>
      <c r="H384" s="5"/>
      <c r="K384" s="5"/>
      <c r="L384" s="5"/>
      <c r="M384" s="5"/>
      <c r="N384" s="5"/>
    </row>
    <row r="385" spans="6:14" x14ac:dyDescent="0.25">
      <c r="F385" s="5"/>
      <c r="H385" s="5"/>
      <c r="K385" s="5"/>
      <c r="L385" s="5"/>
      <c r="M385" s="5"/>
      <c r="N385" s="5"/>
    </row>
    <row r="386" spans="6:14" x14ac:dyDescent="0.25">
      <c r="F386" s="5"/>
      <c r="H386" s="5"/>
      <c r="K386" s="5"/>
      <c r="L386" s="5"/>
      <c r="M386" s="5"/>
      <c r="N386" s="5"/>
    </row>
    <row r="387" spans="6:14" x14ac:dyDescent="0.25">
      <c r="F387" s="5"/>
      <c r="H387" s="5"/>
      <c r="K387" s="5"/>
      <c r="L387" s="5"/>
      <c r="M387" s="5"/>
      <c r="N387" s="5"/>
    </row>
    <row r="388" spans="6:14" x14ac:dyDescent="0.25">
      <c r="F388" s="5"/>
      <c r="H388" s="5"/>
      <c r="K388" s="5"/>
      <c r="L388" s="5"/>
      <c r="M388" s="5"/>
      <c r="N388" s="5"/>
    </row>
    <row r="389" spans="6:14" x14ac:dyDescent="0.25">
      <c r="F389" s="5"/>
      <c r="H389" s="5"/>
      <c r="K389" s="5"/>
      <c r="L389" s="5"/>
      <c r="M389" s="5"/>
      <c r="N389" s="5"/>
    </row>
    <row r="390" spans="6:14" x14ac:dyDescent="0.25">
      <c r="F390" s="5"/>
      <c r="H390" s="5"/>
      <c r="K390" s="5"/>
      <c r="L390" s="5"/>
      <c r="M390" s="5"/>
      <c r="N390" s="5"/>
    </row>
    <row r="391" spans="6:14" x14ac:dyDescent="0.25">
      <c r="F391" s="5"/>
      <c r="H391" s="5"/>
      <c r="K391" s="5"/>
      <c r="L391" s="5"/>
      <c r="M391" s="5"/>
      <c r="N391" s="5"/>
    </row>
    <row r="392" spans="6:14" x14ac:dyDescent="0.25">
      <c r="F392" s="5"/>
      <c r="H392" s="5"/>
      <c r="K392" s="5"/>
      <c r="L392" s="5"/>
      <c r="M392" s="5"/>
      <c r="N392" s="5"/>
    </row>
    <row r="393" spans="6:14" x14ac:dyDescent="0.25">
      <c r="F393" s="5"/>
      <c r="H393" s="5"/>
      <c r="K393" s="5"/>
      <c r="L393" s="5"/>
      <c r="M393" s="5"/>
      <c r="N393" s="5"/>
    </row>
    <row r="394" spans="6:14" x14ac:dyDescent="0.25">
      <c r="F394" s="5"/>
      <c r="H394" s="5"/>
      <c r="K394" s="5"/>
      <c r="L394" s="5"/>
      <c r="M394" s="5"/>
      <c r="N394" s="5"/>
    </row>
    <row r="395" spans="6:14" x14ac:dyDescent="0.25">
      <c r="F395" s="5"/>
      <c r="H395" s="5"/>
      <c r="K395" s="5"/>
      <c r="L395" s="5"/>
      <c r="M395" s="5"/>
      <c r="N395" s="5"/>
    </row>
    <row r="396" spans="6:14" x14ac:dyDescent="0.25">
      <c r="F396" s="5"/>
      <c r="H396" s="5"/>
      <c r="K396" s="5"/>
      <c r="L396" s="5"/>
      <c r="M396" s="5"/>
      <c r="N396" s="5"/>
    </row>
    <row r="397" spans="6:14" x14ac:dyDescent="0.25">
      <c r="F397" s="5"/>
      <c r="H397" s="5"/>
      <c r="K397" s="5"/>
      <c r="L397" s="5"/>
      <c r="M397" s="5"/>
      <c r="N397" s="5"/>
    </row>
    <row r="398" spans="6:14" x14ac:dyDescent="0.25">
      <c r="F398" s="5"/>
      <c r="H398" s="5"/>
      <c r="K398" s="5"/>
      <c r="L398" s="5"/>
      <c r="M398" s="5"/>
      <c r="N398" s="5"/>
    </row>
    <row r="399" spans="6:14" x14ac:dyDescent="0.25">
      <c r="F399" s="5"/>
      <c r="H399" s="5"/>
      <c r="K399" s="5"/>
      <c r="L399" s="5"/>
      <c r="M399" s="5"/>
      <c r="N399" s="5"/>
    </row>
    <row r="400" spans="6:14" x14ac:dyDescent="0.25">
      <c r="F400" s="5"/>
      <c r="H400" s="5"/>
      <c r="K400" s="5"/>
      <c r="L400" s="5"/>
      <c r="M400" s="5"/>
      <c r="N400" s="5"/>
    </row>
    <row r="401" spans="6:14" x14ac:dyDescent="0.25">
      <c r="F401" s="5"/>
      <c r="H401" s="5"/>
      <c r="K401" s="5"/>
      <c r="L401" s="5"/>
      <c r="M401" s="5"/>
      <c r="N401" s="5"/>
    </row>
    <row r="402" spans="6:14" x14ac:dyDescent="0.25">
      <c r="F402" s="5"/>
      <c r="H402" s="5"/>
      <c r="K402" s="5"/>
      <c r="L402" s="5"/>
      <c r="M402" s="5"/>
      <c r="N402" s="5"/>
    </row>
    <row r="403" spans="6:14" x14ac:dyDescent="0.25">
      <c r="F403" s="5"/>
      <c r="H403" s="5"/>
      <c r="K403" s="5"/>
      <c r="L403" s="5"/>
      <c r="M403" s="5"/>
      <c r="N403" s="5"/>
    </row>
    <row r="404" spans="6:14" x14ac:dyDescent="0.25">
      <c r="F404" s="5"/>
      <c r="H404" s="5"/>
      <c r="K404" s="5"/>
      <c r="L404" s="5"/>
      <c r="M404" s="5"/>
      <c r="N404" s="5"/>
    </row>
    <row r="405" spans="6:14" x14ac:dyDescent="0.25">
      <c r="F405" s="5"/>
      <c r="H405" s="5"/>
      <c r="K405" s="5"/>
      <c r="L405" s="5"/>
      <c r="M405" s="5"/>
      <c r="N405" s="5"/>
    </row>
    <row r="406" spans="6:14" x14ac:dyDescent="0.25">
      <c r="F406" s="5"/>
      <c r="H406" s="5"/>
      <c r="K406" s="5"/>
      <c r="L406" s="5"/>
      <c r="M406" s="5"/>
      <c r="N406" s="5"/>
    </row>
    <row r="407" spans="6:14" x14ac:dyDescent="0.25">
      <c r="F407" s="5"/>
      <c r="H407" s="5"/>
      <c r="K407" s="5"/>
      <c r="L407" s="5"/>
      <c r="M407" s="5"/>
      <c r="N407" s="5"/>
    </row>
    <row r="408" spans="6:14" x14ac:dyDescent="0.25">
      <c r="F408" s="5"/>
      <c r="H408" s="5"/>
      <c r="K408" s="5"/>
      <c r="L408" s="5"/>
      <c r="M408" s="5"/>
      <c r="N408" s="5"/>
    </row>
    <row r="409" spans="6:14" x14ac:dyDescent="0.25">
      <c r="F409" s="5"/>
      <c r="H409" s="5"/>
      <c r="K409" s="5"/>
      <c r="L409" s="5"/>
      <c r="M409" s="5"/>
      <c r="N409" s="5"/>
    </row>
    <row r="410" spans="6:14" x14ac:dyDescent="0.25">
      <c r="F410" s="5"/>
      <c r="H410" s="5"/>
      <c r="K410" s="5"/>
      <c r="L410" s="5"/>
      <c r="M410" s="5"/>
      <c r="N410" s="5"/>
    </row>
    <row r="411" spans="6:14" x14ac:dyDescent="0.25">
      <c r="F411" s="5"/>
      <c r="H411" s="5"/>
      <c r="K411" s="5"/>
      <c r="L411" s="5"/>
      <c r="M411" s="5"/>
      <c r="N411" s="5"/>
    </row>
    <row r="412" spans="6:14" x14ac:dyDescent="0.25">
      <c r="F412" s="5"/>
      <c r="H412" s="5"/>
      <c r="K412" s="5"/>
      <c r="L412" s="5"/>
      <c r="M412" s="5"/>
      <c r="N412" s="5"/>
    </row>
    <row r="413" spans="6:14" x14ac:dyDescent="0.25">
      <c r="F413" s="5"/>
      <c r="H413" s="5"/>
      <c r="K413" s="5"/>
      <c r="L413" s="5"/>
      <c r="M413" s="5"/>
      <c r="N413" s="5"/>
    </row>
    <row r="414" spans="6:14" x14ac:dyDescent="0.25">
      <c r="F414" s="5"/>
      <c r="H414" s="5"/>
      <c r="K414" s="5"/>
      <c r="L414" s="5"/>
      <c r="M414" s="5"/>
      <c r="N414" s="5"/>
    </row>
    <row r="415" spans="6:14" x14ac:dyDescent="0.25">
      <c r="F415" s="5"/>
      <c r="H415" s="5"/>
      <c r="K415" s="5"/>
      <c r="L415" s="5"/>
      <c r="M415" s="5"/>
      <c r="N415" s="5"/>
    </row>
    <row r="416" spans="6:14" x14ac:dyDescent="0.25">
      <c r="F416" s="5"/>
      <c r="H416" s="5"/>
      <c r="K416" s="5"/>
      <c r="L416" s="5"/>
      <c r="M416" s="5"/>
      <c r="N416" s="5"/>
    </row>
    <row r="417" spans="6:14" x14ac:dyDescent="0.25">
      <c r="F417" s="5"/>
      <c r="H417" s="5"/>
      <c r="K417" s="5"/>
      <c r="L417" s="5"/>
      <c r="M417" s="5"/>
      <c r="N417" s="5"/>
    </row>
    <row r="418" spans="6:14" x14ac:dyDescent="0.25">
      <c r="F418" s="5"/>
      <c r="H418" s="5"/>
      <c r="K418" s="5"/>
      <c r="L418" s="5"/>
      <c r="M418" s="5"/>
      <c r="N418" s="5"/>
    </row>
    <row r="419" spans="6:14" x14ac:dyDescent="0.25">
      <c r="F419" s="5"/>
      <c r="H419" s="5"/>
      <c r="K419" s="5"/>
      <c r="L419" s="5"/>
      <c r="M419" s="5"/>
      <c r="N419" s="5"/>
    </row>
    <row r="420" spans="6:14" x14ac:dyDescent="0.25">
      <c r="F420" s="5"/>
      <c r="H420" s="5"/>
      <c r="K420" s="5"/>
      <c r="L420" s="5"/>
      <c r="M420" s="5"/>
      <c r="N420" s="5"/>
    </row>
    <row r="421" spans="6:14" x14ac:dyDescent="0.25">
      <c r="F421" s="5"/>
      <c r="H421" s="5"/>
      <c r="K421" s="5"/>
      <c r="L421" s="5"/>
      <c r="M421" s="5"/>
      <c r="N421" s="5"/>
    </row>
    <row r="422" spans="6:14" x14ac:dyDescent="0.25">
      <c r="F422" s="5"/>
      <c r="H422" s="5"/>
      <c r="K422" s="5"/>
      <c r="L422" s="5"/>
      <c r="M422" s="5"/>
      <c r="N422" s="5"/>
    </row>
    <row r="423" spans="6:14" x14ac:dyDescent="0.25">
      <c r="F423" s="5"/>
      <c r="H423" s="5"/>
      <c r="K423" s="5"/>
      <c r="L423" s="5"/>
      <c r="M423" s="5"/>
      <c r="N423" s="5"/>
    </row>
    <row r="424" spans="6:14" x14ac:dyDescent="0.25">
      <c r="F424" s="5"/>
      <c r="H424" s="5"/>
      <c r="K424" s="5"/>
      <c r="L424" s="5"/>
      <c r="M424" s="5"/>
      <c r="N424" s="5"/>
    </row>
    <row r="425" spans="6:14" x14ac:dyDescent="0.25">
      <c r="F425" s="5"/>
      <c r="H425" s="5"/>
      <c r="K425" s="5"/>
      <c r="L425" s="5"/>
      <c r="M425" s="5"/>
      <c r="N425" s="5"/>
    </row>
    <row r="426" spans="6:14" x14ac:dyDescent="0.25">
      <c r="F426" s="5"/>
      <c r="H426" s="5"/>
      <c r="K426" s="5"/>
      <c r="L426" s="5"/>
      <c r="M426" s="5"/>
      <c r="N426" s="5"/>
    </row>
    <row r="427" spans="6:14" x14ac:dyDescent="0.25">
      <c r="F427" s="5"/>
      <c r="H427" s="5"/>
      <c r="K427" s="5"/>
      <c r="L427" s="5"/>
      <c r="M427" s="5"/>
      <c r="N427" s="5"/>
    </row>
    <row r="428" spans="6:14" x14ac:dyDescent="0.25">
      <c r="F428" s="5"/>
      <c r="H428" s="5"/>
      <c r="K428" s="5"/>
      <c r="L428" s="5"/>
      <c r="M428" s="5"/>
      <c r="N428" s="5"/>
    </row>
    <row r="429" spans="6:14" x14ac:dyDescent="0.25">
      <c r="F429" s="5"/>
      <c r="H429" s="5"/>
      <c r="K429" s="5"/>
      <c r="L429" s="5"/>
      <c r="M429" s="5"/>
      <c r="N429" s="5"/>
    </row>
    <row r="430" spans="6:14" x14ac:dyDescent="0.25">
      <c r="F430" s="5"/>
      <c r="H430" s="5"/>
      <c r="K430" s="5"/>
      <c r="L430" s="5"/>
      <c r="M430" s="5"/>
      <c r="N430" s="5"/>
    </row>
    <row r="431" spans="6:14" x14ac:dyDescent="0.25">
      <c r="F431" s="5"/>
      <c r="H431" s="5"/>
      <c r="K431" s="5"/>
      <c r="L431" s="5"/>
      <c r="M431" s="5"/>
      <c r="N431" s="5"/>
    </row>
    <row r="432" spans="6:14" x14ac:dyDescent="0.25">
      <c r="F432" s="5"/>
      <c r="H432" s="5"/>
      <c r="K432" s="5"/>
      <c r="L432" s="5"/>
      <c r="M432" s="5"/>
      <c r="N432" s="5"/>
    </row>
    <row r="433" spans="6:14" x14ac:dyDescent="0.25">
      <c r="F433" s="5"/>
      <c r="H433" s="5"/>
      <c r="K433" s="5"/>
      <c r="L433" s="5"/>
      <c r="M433" s="5"/>
      <c r="N433" s="5"/>
    </row>
    <row r="434" spans="6:14" x14ac:dyDescent="0.25">
      <c r="F434" s="5"/>
      <c r="H434" s="5"/>
      <c r="K434" s="5"/>
      <c r="L434" s="5"/>
      <c r="M434" s="5"/>
      <c r="N434" s="5"/>
    </row>
    <row r="435" spans="6:14" x14ac:dyDescent="0.25">
      <c r="F435" s="5"/>
      <c r="H435" s="5"/>
      <c r="K435" s="5"/>
      <c r="L435" s="5"/>
      <c r="M435" s="5"/>
      <c r="N435" s="5"/>
    </row>
    <row r="436" spans="6:14" x14ac:dyDescent="0.25">
      <c r="F436" s="5"/>
      <c r="H436" s="5"/>
      <c r="K436" s="5"/>
      <c r="L436" s="5"/>
      <c r="M436" s="5"/>
      <c r="N436" s="5"/>
    </row>
    <row r="437" spans="6:14" x14ac:dyDescent="0.25">
      <c r="F437" s="5"/>
      <c r="H437" s="5"/>
      <c r="K437" s="5"/>
      <c r="L437" s="5"/>
      <c r="M437" s="5"/>
      <c r="N437" s="5"/>
    </row>
    <row r="438" spans="6:14" x14ac:dyDescent="0.25">
      <c r="F438" s="5"/>
      <c r="H438" s="5"/>
      <c r="K438" s="5"/>
      <c r="L438" s="5"/>
      <c r="M438" s="5"/>
      <c r="N438" s="5"/>
    </row>
    <row r="439" spans="6:14" x14ac:dyDescent="0.25">
      <c r="F439" s="5"/>
      <c r="H439" s="5"/>
      <c r="K439" s="5"/>
      <c r="L439" s="5"/>
      <c r="M439" s="5"/>
      <c r="N439" s="5"/>
    </row>
    <row r="440" spans="6:14" x14ac:dyDescent="0.25">
      <c r="F440" s="5"/>
      <c r="H440" s="5"/>
      <c r="K440" s="5"/>
      <c r="L440" s="5"/>
      <c r="M440" s="5"/>
      <c r="N440" s="5"/>
    </row>
    <row r="441" spans="6:14" x14ac:dyDescent="0.25">
      <c r="F441" s="5"/>
      <c r="H441" s="5"/>
      <c r="K441" s="5"/>
      <c r="L441" s="5"/>
      <c r="M441" s="5"/>
      <c r="N441" s="5"/>
    </row>
    <row r="442" spans="6:14" x14ac:dyDescent="0.25">
      <c r="F442" s="5"/>
      <c r="H442" s="5"/>
      <c r="K442" s="5"/>
      <c r="L442" s="5"/>
      <c r="M442" s="5"/>
      <c r="N442" s="5"/>
    </row>
    <row r="443" spans="6:14" x14ac:dyDescent="0.25">
      <c r="F443" s="5"/>
      <c r="H443" s="5"/>
      <c r="K443" s="5"/>
      <c r="L443" s="5"/>
      <c r="M443" s="5"/>
      <c r="N443" s="5"/>
    </row>
    <row r="444" spans="6:14" x14ac:dyDescent="0.25">
      <c r="F444" s="5"/>
      <c r="H444" s="5"/>
      <c r="K444" s="5"/>
      <c r="L444" s="5"/>
      <c r="M444" s="5"/>
      <c r="N444" s="5"/>
    </row>
    <row r="445" spans="6:14" x14ac:dyDescent="0.25">
      <c r="F445" s="5"/>
      <c r="H445" s="5"/>
      <c r="K445" s="5"/>
      <c r="L445" s="5"/>
      <c r="M445" s="5"/>
      <c r="N445" s="5"/>
    </row>
    <row r="446" spans="6:14" x14ac:dyDescent="0.25">
      <c r="F446" s="5"/>
      <c r="H446" s="5"/>
      <c r="K446" s="5"/>
      <c r="L446" s="5"/>
      <c r="M446" s="5"/>
      <c r="N446" s="5"/>
    </row>
    <row r="447" spans="6:14" x14ac:dyDescent="0.25">
      <c r="F447" s="5"/>
      <c r="H447" s="5"/>
      <c r="K447" s="5"/>
      <c r="L447" s="5"/>
      <c r="M447" s="5"/>
      <c r="N447" s="5"/>
    </row>
    <row r="448" spans="6:14" x14ac:dyDescent="0.25">
      <c r="F448" s="5"/>
      <c r="H448" s="5"/>
      <c r="K448" s="5"/>
      <c r="L448" s="5"/>
      <c r="M448" s="5"/>
      <c r="N448" s="5"/>
    </row>
    <row r="449" spans="6:14" x14ac:dyDescent="0.25">
      <c r="F449" s="5"/>
      <c r="H449" s="5"/>
      <c r="K449" s="5"/>
      <c r="L449" s="5"/>
      <c r="M449" s="5"/>
      <c r="N449" s="5"/>
    </row>
    <row r="450" spans="6:14" x14ac:dyDescent="0.25">
      <c r="F450" s="5"/>
      <c r="H450" s="5"/>
      <c r="K450" s="5"/>
      <c r="L450" s="5"/>
      <c r="M450" s="5"/>
      <c r="N450" s="5"/>
    </row>
    <row r="451" spans="6:14" x14ac:dyDescent="0.25">
      <c r="F451" s="5"/>
      <c r="H451" s="5"/>
      <c r="K451" s="5"/>
      <c r="L451" s="5"/>
      <c r="M451" s="5"/>
      <c r="N451" s="5"/>
    </row>
    <row r="452" spans="6:14" x14ac:dyDescent="0.25">
      <c r="F452" s="5"/>
      <c r="H452" s="5"/>
      <c r="K452" s="5"/>
      <c r="L452" s="5"/>
      <c r="M452" s="5"/>
      <c r="N452" s="5"/>
    </row>
    <row r="453" spans="6:14" x14ac:dyDescent="0.25">
      <c r="F453" s="5"/>
      <c r="H453" s="5"/>
      <c r="K453" s="5"/>
      <c r="L453" s="5"/>
      <c r="M453" s="5"/>
      <c r="N453" s="5"/>
    </row>
    <row r="454" spans="6:14" x14ac:dyDescent="0.25">
      <c r="F454" s="5"/>
      <c r="H454" s="5"/>
      <c r="K454" s="5"/>
      <c r="L454" s="5"/>
      <c r="M454" s="5"/>
      <c r="N454" s="5"/>
    </row>
    <row r="455" spans="6:14" x14ac:dyDescent="0.25">
      <c r="F455" s="5"/>
      <c r="H455" s="5"/>
      <c r="K455" s="5"/>
      <c r="L455" s="5"/>
      <c r="M455" s="5"/>
      <c r="N455" s="5"/>
    </row>
    <row r="456" spans="6:14" x14ac:dyDescent="0.25">
      <c r="F456" s="5"/>
      <c r="H456" s="5"/>
      <c r="K456" s="5"/>
      <c r="L456" s="5"/>
      <c r="M456" s="5"/>
      <c r="N456" s="5"/>
    </row>
    <row r="457" spans="6:14" x14ac:dyDescent="0.25">
      <c r="F457" s="5"/>
      <c r="H457" s="5"/>
      <c r="K457" s="5"/>
      <c r="L457" s="5"/>
      <c r="M457" s="5"/>
      <c r="N457" s="5"/>
    </row>
    <row r="458" spans="6:14" x14ac:dyDescent="0.25">
      <c r="F458" s="5"/>
      <c r="H458" s="5"/>
      <c r="K458" s="5"/>
      <c r="L458" s="5"/>
      <c r="M458" s="5"/>
      <c r="N458" s="5"/>
    </row>
    <row r="459" spans="6:14" x14ac:dyDescent="0.25">
      <c r="F459" s="5"/>
      <c r="H459" s="5"/>
      <c r="K459" s="5"/>
      <c r="L459" s="5"/>
      <c r="M459" s="5"/>
      <c r="N459" s="5"/>
    </row>
    <row r="460" spans="6:14" x14ac:dyDescent="0.25">
      <c r="F460" s="5"/>
      <c r="H460" s="5"/>
      <c r="K460" s="5"/>
      <c r="L460" s="5"/>
      <c r="M460" s="5"/>
      <c r="N460" s="5"/>
    </row>
    <row r="461" spans="6:14" x14ac:dyDescent="0.25">
      <c r="F461" s="5"/>
      <c r="H461" s="5"/>
      <c r="K461" s="5"/>
      <c r="L461" s="5"/>
      <c r="M461" s="5"/>
      <c r="N461" s="5"/>
    </row>
    <row r="462" spans="6:14" x14ac:dyDescent="0.25">
      <c r="F462" s="5"/>
      <c r="H462" s="5"/>
      <c r="K462" s="5"/>
      <c r="L462" s="5"/>
      <c r="M462" s="5"/>
      <c r="N462" s="5"/>
    </row>
    <row r="463" spans="6:14" x14ac:dyDescent="0.25">
      <c r="F463" s="5"/>
      <c r="H463" s="5"/>
      <c r="K463" s="5"/>
      <c r="L463" s="5"/>
      <c r="M463" s="5"/>
      <c r="N463" s="5"/>
    </row>
    <row r="464" spans="6:14" x14ac:dyDescent="0.25">
      <c r="F464" s="5"/>
      <c r="H464" s="5"/>
      <c r="K464" s="5"/>
      <c r="L464" s="5"/>
      <c r="M464" s="5"/>
      <c r="N464" s="5"/>
    </row>
    <row r="465" spans="6:14" x14ac:dyDescent="0.25">
      <c r="F465" s="5"/>
      <c r="H465" s="5"/>
      <c r="K465" s="5"/>
      <c r="L465" s="5"/>
      <c r="M465" s="5"/>
      <c r="N465" s="5"/>
    </row>
    <row r="466" spans="6:14" x14ac:dyDescent="0.25">
      <c r="F466" s="5"/>
      <c r="H466" s="5"/>
      <c r="K466" s="5"/>
      <c r="L466" s="5"/>
      <c r="M466" s="5"/>
      <c r="N466" s="5"/>
    </row>
    <row r="467" spans="6:14" x14ac:dyDescent="0.25">
      <c r="F467" s="5"/>
      <c r="H467" s="5"/>
      <c r="K467" s="5"/>
      <c r="L467" s="5"/>
      <c r="M467" s="5"/>
      <c r="N467" s="5"/>
    </row>
    <row r="468" spans="6:14" x14ac:dyDescent="0.25">
      <c r="F468" s="5"/>
      <c r="H468" s="5"/>
      <c r="K468" s="5"/>
      <c r="L468" s="5"/>
      <c r="M468" s="5"/>
      <c r="N468" s="5"/>
    </row>
    <row r="469" spans="6:14" x14ac:dyDescent="0.25">
      <c r="F469" s="5"/>
      <c r="H469" s="5"/>
      <c r="K469" s="5"/>
      <c r="L469" s="5"/>
      <c r="M469" s="5"/>
      <c r="N469" s="5"/>
    </row>
    <row r="470" spans="6:14" x14ac:dyDescent="0.25">
      <c r="F470" s="5"/>
      <c r="H470" s="5"/>
      <c r="K470" s="5"/>
      <c r="L470" s="5"/>
      <c r="M470" s="5"/>
      <c r="N470" s="5"/>
    </row>
    <row r="471" spans="6:14" x14ac:dyDescent="0.25">
      <c r="F471" s="5"/>
      <c r="H471" s="5"/>
      <c r="K471" s="5"/>
      <c r="L471" s="5"/>
      <c r="M471" s="5"/>
      <c r="N471" s="5"/>
    </row>
    <row r="472" spans="6:14" x14ac:dyDescent="0.25">
      <c r="F472" s="5"/>
      <c r="H472" s="5"/>
      <c r="K472" s="5"/>
      <c r="L472" s="5"/>
      <c r="M472" s="5"/>
      <c r="N472" s="5"/>
    </row>
    <row r="473" spans="6:14" x14ac:dyDescent="0.25">
      <c r="F473" s="5"/>
      <c r="H473" s="5"/>
      <c r="K473" s="5"/>
      <c r="L473" s="5"/>
      <c r="M473" s="5"/>
      <c r="N473" s="5"/>
    </row>
    <row r="474" spans="6:14" x14ac:dyDescent="0.25">
      <c r="F474" s="5"/>
      <c r="H474" s="5"/>
      <c r="K474" s="5"/>
      <c r="L474" s="5"/>
      <c r="M474" s="5"/>
      <c r="N474" s="5"/>
    </row>
    <row r="475" spans="6:14" x14ac:dyDescent="0.25">
      <c r="F475" s="5"/>
      <c r="H475" s="5"/>
      <c r="K475" s="5"/>
      <c r="L475" s="5"/>
      <c r="M475" s="5"/>
      <c r="N475" s="5"/>
    </row>
    <row r="476" spans="6:14" x14ac:dyDescent="0.25">
      <c r="F476" s="5"/>
      <c r="H476" s="5"/>
      <c r="K476" s="5"/>
      <c r="L476" s="5"/>
      <c r="M476" s="5"/>
      <c r="N476" s="5"/>
    </row>
    <row r="477" spans="6:14" x14ac:dyDescent="0.25">
      <c r="F477" s="5"/>
      <c r="H477" s="5"/>
      <c r="K477" s="5"/>
      <c r="L477" s="5"/>
      <c r="M477" s="5"/>
      <c r="N477" s="5"/>
    </row>
    <row r="478" spans="6:14" x14ac:dyDescent="0.25">
      <c r="F478" s="5"/>
      <c r="H478" s="5"/>
      <c r="K478" s="5"/>
      <c r="L478" s="5"/>
      <c r="M478" s="5"/>
      <c r="N478" s="5"/>
    </row>
    <row r="479" spans="6:14" x14ac:dyDescent="0.25">
      <c r="F479" s="5"/>
      <c r="H479" s="5"/>
      <c r="K479" s="5"/>
      <c r="L479" s="5"/>
      <c r="M479" s="5"/>
      <c r="N479" s="5"/>
    </row>
    <row r="480" spans="6:14" x14ac:dyDescent="0.25">
      <c r="F480" s="5"/>
      <c r="H480" s="5"/>
      <c r="K480" s="5"/>
      <c r="L480" s="5"/>
      <c r="M480" s="5"/>
      <c r="N480" s="5"/>
    </row>
    <row r="481" spans="6:14" x14ac:dyDescent="0.25">
      <c r="F481" s="5"/>
      <c r="H481" s="5"/>
      <c r="K481" s="5"/>
      <c r="L481" s="5"/>
      <c r="M481" s="5"/>
      <c r="N481" s="5"/>
    </row>
    <row r="482" spans="6:14" x14ac:dyDescent="0.25">
      <c r="F482" s="5"/>
      <c r="H482" s="5"/>
      <c r="K482" s="5"/>
      <c r="L482" s="5"/>
      <c r="M482" s="5"/>
      <c r="N482" s="5"/>
    </row>
    <row r="483" spans="6:14" x14ac:dyDescent="0.25">
      <c r="F483" s="5"/>
      <c r="H483" s="5"/>
      <c r="K483" s="5"/>
      <c r="L483" s="5"/>
      <c r="M483" s="5"/>
      <c r="N483" s="5"/>
    </row>
    <row r="484" spans="6:14" x14ac:dyDescent="0.25">
      <c r="F484" s="5"/>
      <c r="H484" s="5"/>
      <c r="K484" s="5"/>
      <c r="L484" s="5"/>
      <c r="M484" s="5"/>
      <c r="N484" s="5"/>
    </row>
    <row r="485" spans="6:14" x14ac:dyDescent="0.25">
      <c r="F485" s="5"/>
      <c r="H485" s="5"/>
      <c r="K485" s="5"/>
      <c r="L485" s="5"/>
      <c r="M485" s="5"/>
      <c r="N485" s="5"/>
    </row>
    <row r="486" spans="6:14" x14ac:dyDescent="0.25">
      <c r="F486" s="5"/>
      <c r="H486" s="5"/>
      <c r="K486" s="5"/>
      <c r="L486" s="5"/>
      <c r="M486" s="5"/>
      <c r="N486" s="5"/>
    </row>
    <row r="487" spans="6:14" x14ac:dyDescent="0.25">
      <c r="F487" s="5"/>
      <c r="H487" s="5"/>
      <c r="K487" s="5"/>
      <c r="L487" s="5"/>
      <c r="M487" s="5"/>
      <c r="N487" s="5"/>
    </row>
    <row r="488" spans="6:14" x14ac:dyDescent="0.25">
      <c r="F488" s="5"/>
      <c r="H488" s="5"/>
      <c r="K488" s="5"/>
      <c r="L488" s="5"/>
      <c r="M488" s="5"/>
      <c r="N488" s="5"/>
    </row>
    <row r="489" spans="6:14" x14ac:dyDescent="0.25">
      <c r="F489" s="5"/>
      <c r="H489" s="5"/>
      <c r="K489" s="5"/>
      <c r="L489" s="5"/>
      <c r="M489" s="5"/>
      <c r="N489" s="5"/>
    </row>
    <row r="490" spans="6:14" x14ac:dyDescent="0.25">
      <c r="F490" s="5"/>
      <c r="H490" s="5"/>
      <c r="K490" s="5"/>
      <c r="L490" s="5"/>
      <c r="M490" s="5"/>
      <c r="N490" s="5"/>
    </row>
  </sheetData>
  <phoneticPr fontId="4" type="noConversion"/>
  <pageMargins left="0.7" right="0.7" top="0.75" bottom="0.75" header="0.3" footer="0.3"/>
  <ignoredErrors>
    <ignoredError sqref="D2:D9" numberStoredAsText="1"/>
  </ignoredErrors>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CCF8E709858C24F9EC4F4DE48A1B19E" ma:contentTypeVersion="13" ma:contentTypeDescription="Create a new document." ma:contentTypeScope="" ma:versionID="1c737a177fc7f6b74c83a00d43e70ad9">
  <xsd:schema xmlns:xsd="http://www.w3.org/2001/XMLSchema" xmlns:xs="http://www.w3.org/2001/XMLSchema" xmlns:p="http://schemas.microsoft.com/office/2006/metadata/properties" xmlns:ns2="41dea14c-c5cc-4545-a437-faf35885d69c" xmlns:ns3="d8b83448-7600-41bc-8401-caa45d34d44c" targetNamespace="http://schemas.microsoft.com/office/2006/metadata/properties" ma:root="true" ma:fieldsID="be7a61327df631c2b9647f6e6d21e99a" ns2:_="" ns3:_="">
    <xsd:import namespace="41dea14c-c5cc-4545-a437-faf35885d69c"/>
    <xsd:import namespace="d8b83448-7600-41bc-8401-caa45d34d44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dea14c-c5cc-4545-a437-faf35885d69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e6c1609-49e0-4fdc-8f5b-8b798a96913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8b83448-7600-41bc-8401-caa45d34d44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7917e25-e642-4ca7-8a9b-6e2d655d3388}" ma:internalName="TaxCatchAll" ma:showField="CatchAllData" ma:web="d8b83448-7600-41bc-8401-caa45d34d4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8b83448-7600-41bc-8401-caa45d34d44c" xsi:nil="true"/>
    <lcf76f155ced4ddcb4097134ff3c332f xmlns="41dea14c-c5cc-4545-a437-faf35885d69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9FFDF8C-7005-45FC-BC68-E371840C1B0B}"/>
</file>

<file path=customXml/itemProps2.xml><?xml version="1.0" encoding="utf-8"?>
<ds:datastoreItem xmlns:ds="http://schemas.openxmlformats.org/officeDocument/2006/customXml" ds:itemID="{0AB0BDC6-64B1-426E-9116-84A5A312AAC3}">
  <ds:schemaRefs>
    <ds:schemaRef ds:uri="http://schemas.microsoft.com/sharepoint/v3/contenttype/forms"/>
  </ds:schemaRefs>
</ds:datastoreItem>
</file>

<file path=customXml/itemProps3.xml><?xml version="1.0" encoding="utf-8"?>
<ds:datastoreItem xmlns:ds="http://schemas.openxmlformats.org/officeDocument/2006/customXml" ds:itemID="{9FCA64E2-7630-4D52-BECE-8796582AA0CD}">
  <ds:schemaRefs>
    <ds:schemaRef ds:uri="41dea14c-c5cc-4545-a437-faf35885d69c"/>
    <ds:schemaRef ds:uri="http://schemas.microsoft.com/office/2006/documentManagement/types"/>
    <ds:schemaRef ds:uri="http://purl.org/dc/elements/1.1/"/>
    <ds:schemaRef ds:uri="http://schemas.microsoft.com/office/infopath/2007/PartnerControls"/>
    <ds:schemaRef ds:uri="http://www.w3.org/XML/1998/namespace"/>
    <ds:schemaRef ds:uri="http://purl.org/dc/terms/"/>
    <ds:schemaRef ds:uri="http://purl.org/dc/dcmitype/"/>
    <ds:schemaRef ds:uri="http://schemas.openxmlformats.org/package/2006/metadata/core-properties"/>
    <ds:schemaRef ds:uri="d8b83448-7600-41bc-8401-caa45d34d44c"/>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Abbreviation Key</vt:lpstr>
      <vt:lpstr>OSAM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Cidney Jones</dc:creator>
  <cp:keywords/>
  <dc:description/>
  <cp:lastModifiedBy>Menichino, Garrett T CIV USARMY CEERD-EL (USA)</cp:lastModifiedBy>
  <cp:revision/>
  <dcterms:created xsi:type="dcterms:W3CDTF">2025-05-02T13:57:43Z</dcterms:created>
  <dcterms:modified xsi:type="dcterms:W3CDTF">2026-01-28T21:47:48Z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0x010100ECCF8E709858C24F9EC4F4DE48A1B19E</vt:lpwstr>
  </property>
  <property fmtid="{D5CDD505-2E9C-101B-9397-08002B2CF9AE}" pid="3" name="MediaServiceImageTags">
    <vt:lpwstr/>
  </property>
</Properties>
</file>